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eb286d48a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939a07cebf4932"/>
    <x:sheet xmlns:r="http://schemas.openxmlformats.org/officeDocument/2006/relationships" name="Dataset Coverage" sheetId="2" r:id="Rf9169094702d489d"/>
    <x:sheet xmlns:r="http://schemas.openxmlformats.org/officeDocument/2006/relationships" name="Label Counts" sheetId="3" r:id="R467dccac19944c1a"/>
    <x:sheet xmlns:r="http://schemas.openxmlformats.org/officeDocument/2006/relationships" name="Model Tasks" sheetId="4" r:id="R011d52a782a149e0"/>
    <x:sheet xmlns:r="http://schemas.openxmlformats.org/officeDocument/2006/relationships" name="QA &amp; Files" sheetId="5" r:id="Rdae8cf61457b4373"/>
    <x:sheet xmlns:r="http://schemas.openxmlformats.org/officeDocument/2006/relationships" name="Feature Dictionary" sheetId="6" r:id="R671bc0c0eedd49fb"/>
    <x:sheet xmlns:r="http://schemas.openxmlformats.org/officeDocument/2006/relationships" name="Label Dictionary" sheetId="7" r:id="R7ad5829708b8423f"/>
    <x:sheet xmlns:r="http://schemas.openxmlformats.org/officeDocument/2006/relationships" name="Branch Combinations" sheetId="8" r:id="R952378787006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6324F"/>
      <x:name val="Carlito"/>
    </x:font>
    <x:font>
      <x:b/>
      <x:sz val="11"/>
      <x:color rgb="FF15803D"/>
      <x:name val="Carlito"/>
    </x:font>
    <x:font>
      <x:b/>
      <x:sz val="10"/>
      <x:color rgb="FFFFFFFF"/>
      <x:name val="Carlito"/>
    </x:font>
    <x:font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5"/>
      </x:patternFill>
    </x:fill>
    <x:fill>
      <x:patternFill patternType="solid">
        <x:fgColor rgb="FF0E7490"/>
      </x:patternFill>
    </x:fill>
    <x:fill>
      <x:patternFill patternType="solid">
        <x:fgColor rgb="FFEAF2FF"/>
      </x:patternFill>
    </x:fill>
    <x:fill>
      <x:patternFill patternType="solid">
        <x:fgColor rgb="FFDCFCE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CBD5E1"/>
      </x:left>
      <x:right style="medium">
        <x:color rgb="FFCBD5E1"/>
      </x:right>
      <x:top style="medium">
        <x:color rgb="FFCBD5E1"/>
      </x:top>
      <x:bottom style="medium">
        <x:color rgb="FFCBD5E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5" fillId="5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5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4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202" fontId="0" fillId="7" borderId="0" xfId="0" applyNumberFormat="1" applyFont="1" applyFill="1" applyBorder="1"/>
    <x:xf numFmtId="202" fontId="8" fillId="7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11fd2c05548dd" /><Relationship Type="http://schemas.openxmlformats.org/officeDocument/2006/relationships/theme" Target="/xl/theme/theme1.xml" Id="R90527de2d8ab43bf" /><Relationship Type="http://schemas.openxmlformats.org/officeDocument/2006/relationships/sharedStrings" Target="/xl/sharedStrings.xml" Id="R71b40a7201e943c5" /><Relationship Type="http://schemas.openxmlformats.org/officeDocument/2006/relationships/worksheet" Target="/xl/worksheets/sheet1.xml" Id="Rcd939a07cebf4932" /><Relationship Type="http://schemas.openxmlformats.org/officeDocument/2006/relationships/worksheet" Target="/xl/worksheets/sheet2.xml" Id="Rf9169094702d489d" /><Relationship Type="http://schemas.openxmlformats.org/officeDocument/2006/relationships/worksheet" Target="/xl/worksheets/sheet3.xml" Id="R467dccac19944c1a" /><Relationship Type="http://schemas.openxmlformats.org/officeDocument/2006/relationships/worksheet" Target="/xl/worksheets/sheet4.xml" Id="R011d52a782a149e0" /><Relationship Type="http://schemas.openxmlformats.org/officeDocument/2006/relationships/worksheet" Target="/xl/worksheets/sheet5.xml" Id="Rdae8cf61457b4373" /><Relationship Type="http://schemas.openxmlformats.org/officeDocument/2006/relationships/worksheet" Target="/xl/worksheets/sheet6.xml" Id="R671bc0c0eedd49fb" /><Relationship Type="http://schemas.openxmlformats.org/officeDocument/2006/relationships/worksheet" Target="/xl/worksheets/sheet7.xml" Id="R7ad5829708b8423f" /><Relationship Type="http://schemas.openxmlformats.org/officeDocument/2006/relationships/worksheet" Target="/xl/worksheets/sheet8.xml" Id="R95237878700640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edd0ca34864e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Observation rows by dataset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Records represented</c:v>
          </c:tx>
          <c:cat>
            <c:strRef>
              <c:f>'Dataset Coverage'!$A$5:$A$10</c:f>
              <c:strCache>
                <c:ptCount val="0"/>
              </c:strCache>
            </c:strRef>
          </c:cat>
          <c:val>
            <c:numRef>
              <c:f>'Dataset Coverage'!$B$5:$B$10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Observation rows</c:v>
          </c:tx>
          <c:cat>
            <c:strRef>
              <c:f>'Dataset Coverage'!$A$5:$A$10</c:f>
              <c:strCache>
                <c:ptCount val="0"/>
              </c:strCache>
            </c:strRef>
          </c:cat>
          <c:val>
            <c:numRef>
              <c:f>'Dataset Coverage'!$C$5:$C$10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edd0ca34864e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setCoverageTable" displayName="DatasetCoverageTable" ref="A4:F10" headerRowCount="1" totalsRowCount="0" totalsRowShown="0">
  <x:tableColumns count="6">
    <x:tableColumn id="1" name="Dataset"/>
    <x:tableColumn id="2" name="Records represented"/>
    <x:tableColumn id="3" name="Observation rows"/>
    <x:tableColumn id="4" name="Share of rows"/>
    <x:tableColumn id="5" name="Primary label namespace"/>
    <x:tableColumn id="6" name="Validation 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abelCountsTable" displayName="LabelCountsTable" ref="A1:D47" headerRowCount="1" totalsRowCount="0" totalsRowShown="0">
  <x:tableColumns count="4">
    <x:tableColumn id="1" name="Label family"/>
    <x:tableColumn id="2" name="Exact/derived value"/>
    <x:tableColumn id="3" name="Row count"/>
    <x:tableColumn id="4" name="Share within famil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delTasksTable" displayName="ModelTasksTable" ref="A1:G13" headerRowCount="1" totalsRowCount="0" totalsRowShown="0">
  <x:tableColumns count="7">
    <x:tableColumn id="1" name="Task"/>
    <x:tableColumn id="2" name="Eligible rows"/>
    <x:tableColumn id="3" name="Target column(s)"/>
    <x:tableColumn id="4" name="Group column"/>
    <x:tableColumn id="5" name="Fold column"/>
    <x:tableColumn id="6" name="CSV view"/>
    <x:tableColumn id="7" name="Training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412a16daee45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86a31524b14f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d0b09f984349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ba4c57ad534d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58" hidden="0" customWidth="1"/>
    <x:col min="14" max="14" width="2" hidden="0" customWidth="1"/>
  </x:cols>
  <x:sheetData>
    <x:row r="1" ht="30" customHeight="1">
      <x:c r="A1" s="3" t="str">
        <x:v>Comprehensive ECG branch-validation dataset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2" t="str">
        <x:v> </x:v>
      </x:c>
    </x:row>
    <x:row r="2" ht="34" customHeight="1">
      <x:c r="A2" s="7" t="str">
        <x:v>Label-preserving audit of B1 peak/HRV, B2 morphology, B3 conduction/repolarization, and B4 signal quality.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32" t="str">
        <x:v> </x:v>
      </x:c>
    </x:row>
    <x:row r="3">
      <x:c r="N3" s="32" t="str">
        <x:v> </x:v>
      </x:c>
    </x:row>
    <x:row r="4" ht="15" hidden="0" customHeight="1">
      <x:c r="A4" s="12" t="str">
        <x:v>Metric</x:v>
      </x:c>
      <x:c r="B4" s="12" t="str">
        <x:v>Value</x:v>
      </x:c>
      <x:c r="C4" s="12" t="str">
        <x:v>Why it matters</x:v>
      </x:c>
      <x:c r="N4" s="32" t="str">
        <x:v> </x:v>
      </x:c>
    </x:row>
    <x:row r="5" ht="15" hidden="0" customHeight="1">
      <x:c r="A5" s="16" t="str">
        <x:v>Observations</x:v>
      </x:c>
      <x:c r="B5" s="19" t="n">
        <x:f>'Dataset Coverage'!C11</x:f>
        <x:v>39664</x:v>
      </x:c>
      <x:c r="C5" s="16" t="str">
        <x:v>Beat-aligned rows across all validation windows</x:v>
      </x:c>
      <x:c r="N5" s="32" t="str">
        <x:v> </x:v>
      </x:c>
    </x:row>
    <x:row r="6" ht="15" hidden="0" customHeight="1">
      <x:c r="A6" s="16" t="str">
        <x:v>Source records</x:v>
      </x:c>
      <x:c r="B6" s="19" t="n">
        <x:f>'Dataset Coverage'!B11</x:f>
        <x:v>299</x:v>
      </x:c>
      <x:c r="C6" s="16" t="str">
        <x:v>Every planned record is represented</x:v>
      </x:c>
      <x:c r="N6" s="32" t="str">
        <x:v> </x:v>
      </x:c>
    </x:row>
    <x:row r="7" ht="15" hidden="0" customHeight="1">
      <x:c r="A7" s="16" t="str">
        <x:v>Feature columns</x:v>
      </x:c>
      <x:c r="B7" s="19" t="n">
        <x:v>52</x:v>
      </x:c>
      <x:c r="C7" s="16" t="str">
        <x:v>Model inputs only; labels excluded</x:v>
      </x:c>
      <x:c r="N7" s="32" t="str">
        <x:v> </x:v>
      </x:c>
    </x:row>
    <x:row r="8" ht="15" hidden="0" customHeight="1">
      <x:c r="A8" s="16" t="str">
        <x:v>Label/provenance columns</x:v>
      </x:c>
      <x:c r="B8" s="19" t="n">
        <x:v>56</x:v>
      </x:c>
      <x:c r="C8" s="16" t="str">
        <x:v>Separate keyed y view</x:v>
      </x:c>
      <x:c r="N8" s="32" t="str">
        <x:v> </x:v>
      </x:c>
    </x:row>
    <x:row r="9" ht="15" hidden="0" customHeight="1">
      <x:c r="A9" s="16" t="str">
        <x:v>Branch combinations</x:v>
      </x:c>
      <x:c r="B9" s="19" t="n">
        <x:v>15</x:v>
      </x:c>
      <x:c r="C9" s="16" t="str">
        <x:v>All non-empty B1-B4 ablations</x:v>
      </x:c>
      <x:c r="N9" s="32" t="str">
        <x:v> </x:v>
      </x:c>
    </x:row>
    <x:row r="10" ht="15" hidden="0" customHeight="1">
      <x:c r="A10" s="16" t="str">
        <x:v>Planned segments</x:v>
      </x:c>
      <x:c r="B10" s="19" t="n">
        <x:v>336</x:v>
      </x:c>
      <x:c r="C10" s="16" t="str">
        <x:v>Label-aware event, class, and control windows</x:v>
      </x:c>
      <x:c r="N10" s="32" t="str">
        <x:v> </x:v>
      </x:c>
    </x:row>
    <x:row r="11" ht="15" hidden="0" customHeight="1">
      <x:c r="A11" s="16" t="str">
        <x:v>Failed segments</x:v>
      </x:c>
      <x:c r="B11" s="19" t="n">
        <x:v>0</x:v>
      </x:c>
      <x:c r="C11" s="16" t="str">
        <x:v>Strictly zero</x:v>
      </x:c>
      <x:c r="N11" s="32" t="str">
        <x:v> </x:v>
      </x:c>
    </x:row>
    <x:row r="12" ht="15" hidden="0" customHeight="1">
      <x:c r="A12" s="16" t="str">
        <x:v>Missing records</x:v>
      </x:c>
      <x:c r="B12" s="19" t="n">
        <x:v>0</x:v>
      </x:c>
      <x:c r="C12" s="16" t="str">
        <x:v>Strictly zero</x:v>
      </x:c>
      <x:c r="N12" s="32" t="str">
        <x:v> </x:v>
      </x:c>
    </x:row>
    <x:row r="13">
      <x:c r="N13" s="32" t="str">
        <x:v> </x:v>
      </x:c>
    </x:row>
    <x:row r="14" ht="15" hidden="0" customHeight="1">
      <x:c r="A14" s="12" t="str">
        <x:v>Modeling rule</x:v>
      </x:c>
      <x:c r="B14" s="12" t="str">
        <x:v>Required action</x:v>
      </x:c>
      <x:c r="C14" s="12" t="str">
        <x:v>Reason</x:v>
      </x:c>
      <x:c r="N14" s="32" t="str">
        <x:v> </x:v>
      </x:c>
    </x:row>
    <x:row r="15" ht="15" hidden="0" customHeight="1">
      <x:c r="A15" s="16" t="str">
        <x:v>Features</x:v>
      </x:c>
      <x:c r="B15" s="16" t="str">
        <x:v>Train from X_features.csv</x:v>
      </x:c>
      <x:c r="C15" s="16" t="str">
        <x:v>Prevents label and provenance leakage</x:v>
      </x:c>
      <x:c r="N15" s="32" t="str">
        <x:v> </x:v>
      </x:c>
    </x:row>
    <x:row r="16" ht="15" hidden="0" customHeight="1">
      <x:c r="A16" s="16" t="str">
        <x:v>Labels</x:v>
      </x:c>
      <x:c r="B16" s="16" t="str">
        <x:v>Join y_labels.csv by row_id</x:v>
      </x:c>
      <x:c r="C16" s="16" t="str">
        <x:v>Keeps exact source labels aligned after filtering</x:v>
      </x:c>
      <x:c r="N16" s="32" t="str">
        <x:v> </x:v>
      </x:c>
    </x:row>
    <x:row r="17" ht="24" hidden="0" customHeight="1">
      <x:c r="A17" s="16" t="str">
        <x:v>Splits</x:v>
      </x:c>
      <x:c r="B17" s="16" t="str">
        <x:v>Use lineage_group_id / suggested_cv_fold</x:v>
      </x:c>
      <x:c r="C17" s="16" t="str">
        <x:v>Keeps related windows and source derivatives together</x:v>
      </x:c>
      <x:c r="N17" s="32" t="str">
        <x:v> </x:v>
      </x:c>
    </x:row>
    <x:row r="18" ht="15" hidden="0" customHeight="1">
      <x:c r="A18" s="16" t="str">
        <x:v>Missing values</x:v>
      </x:c>
      <x:c r="B18" s="16" t="str">
        <x:v>Impute within training folds</x:v>
      </x:c>
      <x:c r="C18" s="16" t="str">
        <x:v>Missing means not measurable, not zero</x:v>
      </x:c>
      <x:c r="N18" s="32" t="str">
        <x:v> </x:v>
      </x:c>
    </x:row>
    <x:row r="19" ht="15" hidden="0" customHeight="1">
      <x:c r="A19" s="16" t="str">
        <x:v>Clustering</x:v>
      </x:c>
      <x:c r="B19" s="16" t="str">
        <x:v>Use labels only after fitting</x:v>
      </x:c>
      <x:c r="C19" s="16" t="str">
        <x:v>Preserves unsupervised evaluation integrity</x:v>
      </x:c>
      <x:c r="N19" s="32" t="str">
        <x:v> </x:v>
      </x:c>
    </x:row>
    <x:row r="20">
      <x:c r="N20" s="32" t="str">
        <x:v> </x:v>
      </x:c>
    </x:row>
    <x:row r="21" ht="15" hidden="0" customHeight="1">
      <x:c r="A21" s="25" t="str">
        <x:v>Validation</x:v>
      </x:c>
      <x:c r="B21" s="25" t="str">
        <x:v>PASS</x:v>
      </x:c>
      <x:c r="C21" s="25" t="str">
        <x:v>See QA &amp; Files</x:v>
      </x:c>
      <x:c r="N21" s="32" t="str">
        <x:v> </x:v>
      </x:c>
    </x:row>
    <x:row r="22" ht="6" customHeight="1">
      <x:c r="A22" s="32" t="str">
        <x:v> </x:v>
      </x:c>
      <x:c r="B22" s="32" t="str">
        <x:v> </x:v>
      </x:c>
      <x:c r="C22" s="32" t="str">
        <x:v> </x:v>
      </x:c>
      <x:c r="D22" s="32" t="str">
        <x:v> </x:v>
      </x:c>
      <x:c r="E22" s="32" t="str">
        <x:v> </x:v>
      </x:c>
      <x:c r="F22" s="32" t="str">
        <x:v> </x:v>
      </x:c>
      <x:c r="G22" s="32" t="str">
        <x:v> </x:v>
      </x:c>
      <x:c r="H22" s="32" t="str">
        <x:v> </x:v>
      </x:c>
      <x:c r="I22" s="32" t="str">
        <x:v> </x:v>
      </x:c>
      <x:c r="J22" s="32" t="str">
        <x:v> </x:v>
      </x:c>
      <x:c r="K22" s="32" t="str">
        <x:v> </x:v>
      </x:c>
      <x:c r="L22" s="32" t="str">
        <x:v> </x:v>
      </x:c>
      <x:c r="M22" s="32" t="str">
        <x:v> </x:v>
      </x:c>
      <x:c r="N22" s="32" t="str">
        <x:v> </x:v>
      </x:c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91412a16daee451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4" hidden="0" customWidth="1"/>
    <x:col min="5" max="5" width="22" hidden="0" customWidth="1"/>
    <x:col min="6" max="6" width="48" hidden="0" customWidth="1"/>
    <x:col min="7" max="7" width="2" hidden="0" customWidth="1"/>
  </x:cols>
  <x:sheetData>
    <x:row r="1" ht="30" customHeight="1">
      <x:c r="A1" s="3" t="str">
        <x:v>Dataset coverage</x:v>
      </x:c>
      <x:c r="B1" s="3"/>
      <x:c r="C1" s="3"/>
      <x:c r="D1" s="3"/>
      <x:c r="E1" s="3"/>
      <x:c r="F1" s="3"/>
      <x:c r="G1" s="32" t="str">
        <x:v> </x:v>
      </x:c>
    </x:row>
    <x:row r="2" ht="34" customHeight="1">
      <x:c r="A2" s="7" t="str">
        <x:v>Strict record-level coverage after extraction; no planned record is silently omitted.</x:v>
      </x:c>
      <x:c r="B2" s="7"/>
      <x:c r="C2" s="7"/>
      <x:c r="D2" s="7"/>
      <x:c r="E2" s="7"/>
      <x:c r="F2" s="7"/>
      <x:c r="G2" s="32" t="str">
        <x:v> </x:v>
      </x:c>
    </x:row>
    <x:row r="3">
      <x:c r="G3" s="32" t="str">
        <x:v> </x:v>
      </x:c>
    </x:row>
    <x:row r="4" ht="26.399999618530273" hidden="0" customHeight="1">
      <x:c r="A4" s="12" t="str">
        <x:v>Dataset</x:v>
      </x:c>
      <x:c r="B4" s="12" t="str">
        <x:v>Records represented</x:v>
      </x:c>
      <x:c r="C4" s="12" t="str">
        <x:v>Observation rows</x:v>
      </x:c>
      <x:c r="D4" s="12" t="str">
        <x:v>Share of rows</x:v>
      </x:c>
      <x:c r="E4" s="12" t="str">
        <x:v>Primary label namespace</x:v>
      </x:c>
      <x:c r="F4" s="12" t="str">
        <x:v>Validation scope</x:v>
      </x:c>
      <x:c r="G4" s="32" t="str">
        <x:v> </x:v>
      </x:c>
    </x:row>
    <x:row r="5" ht="15" hidden="0" customHeight="1">
      <x:c r="A5" s="16" t="str">
        <x:v>butqdb</x:v>
      </x:c>
      <x:c r="B5" s="16" t="n">
        <x:v>18</x:v>
      </x:c>
      <x:c r="C5" s="19" t="n">
        <x:v>10261</x:v>
      </x:c>
      <x:c r="D5" s="21" t="n">
        <x:f>C5/SUM($C$5:$C$10)</x:f>
        <x:v>0.2586980637353772</x:v>
      </x:c>
      <x:c r="E5" s="16" t="str">
        <x:v>Quality</x:v>
      </x:c>
      <x:c r="F5" s="16" t="str">
        <x:v>18 long records; class-targeted annotated windows</x:v>
      </x:c>
      <x:c r="G5" s="32" t="str">
        <x:v> </x:v>
      </x:c>
    </x:row>
    <x:row r="6" ht="15" hidden="0" customHeight="1">
      <x:c r="A6" s="16" t="str">
        <x:v>ludb</x:v>
      </x:c>
      <x:c r="B6" s="16" t="n">
        <x:v>200</x:v>
      </x:c>
      <x:c r="C6" s="19" t="n">
        <x:v>1454</x:v>
      </x:c>
      <x:c r="D6" s="21" t="n">
        <x:f>C6/SUM($C$5:$C$10)</x:f>
        <x:v>0.036657926583299714</x:v>
      </x:c>
      <x:c r="E6" s="16" t="str">
        <x:v>Diagnoses + landmarks</x:v>
      </x:c>
      <x:c r="F6" s="16" t="str">
        <x:v>All 200 ten-second records</x:v>
      </x:c>
      <x:c r="G6" s="32" t="str">
        <x:v> </x:v>
      </x:c>
    </x:row>
    <x:row r="7" ht="15" hidden="0" customHeight="1">
      <x:c r="A7" s="16" t="str">
        <x:v>mitdb</x:v>
      </x:c>
      <x:c r="B7" s="16" t="n">
        <x:v>48</x:v>
      </x:c>
      <x:c r="C7" s="19" t="n">
        <x:v>11068</x:v>
      </x:c>
      <x:c r="D7" s="21" t="n">
        <x:f>C7/SUM($C$5:$C$10)</x:f>
        <x:v>0.2790439693424768</x:v>
      </x:c>
      <x:c r="E7" s="16" t="str">
        <x:v>Beat symbols</x:v>
      </x:c>
      <x:c r="F7" s="16" t="str">
        <x:v>All 48 records; rarity-weighted 180-second windows</x:v>
      </x:c>
      <x:c r="G7" s="32" t="str">
        <x:v> </x:v>
      </x:c>
    </x:row>
    <x:row r="8" ht="15" hidden="0" customHeight="1">
      <x:c r="A8" s="16" t="str">
        <x:v>nstdb</x:v>
      </x:c>
      <x:c r="B8" s="16" t="n">
        <x:v>12</x:v>
      </x:c>
      <x:c r="C8" s="19" t="n">
        <x:v>2847</x:v>
      </x:c>
      <x:c r="D8" s="21" t="n">
        <x:f>C8/SUM($C$5:$C$10)</x:f>
        <x:v>0.07177793465106898</x:v>
      </x:c>
      <x:c r="E8" s="16" t="str">
        <x:v>Noise/SNR</x:v>
      </x:c>
      <x:c r="F8" s="16" t="str">
        <x:v>All 12 electrode-motion SNR conditions</x:v>
      </x:c>
      <x:c r="G8" s="32" t="str">
        <x:v> </x:v>
      </x:c>
    </x:row>
    <x:row r="9" ht="15" hidden="0" customHeight="1">
      <x:c r="A9" s="16" t="str">
        <x:v>qtdb</x:v>
      </x:c>
      <x:c r="B9" s="16" t="n">
        <x:v>12</x:v>
      </x:c>
      <x:c r="C9" s="19" t="n">
        <x:v>2688</x:v>
      </x:c>
      <x:c r="D9" s="21" t="n">
        <x:f>C9/SUM($C$5:$C$10)</x:f>
        <x:v>0.06776926179911255</x:v>
      </x:c>
      <x:c r="E9" s="16" t="str">
        <x:v>Manual landmarks</x:v>
      </x:c>
      <x:c r="F9" s="16" t="str">
        <x:v>12 branch-qualified MLII q1c records</x:v>
      </x:c>
      <x:c r="G9" s="32" t="str">
        <x:v> </x:v>
      </x:c>
    </x:row>
    <x:row r="10" ht="15" hidden="0" customHeight="1">
      <x:c r="A10" s="16" t="str">
        <x:v>seizure_edf</x:v>
      </x:c>
      <x:c r="B10" s="16" t="n">
        <x:v>9</x:v>
      </x:c>
      <x:c r="C10" s="19" t="n">
        <x:v>11346</x:v>
      </x:c>
      <x:c r="D10" s="21" t="n">
        <x:f>C10/SUM($C$5:$C$10)</x:f>
        <x:v>0.2860528438886648</x:v>
      </x:c>
      <x:c r="E10" s="16" t="str">
        <x:v>Seizure intervals</x:v>
      </x:c>
      <x:c r="F10" s="16" t="str">
        <x:v>All 9 configured EDFs; events plus controls</x:v>
      </x:c>
      <x:c r="G10" s="32" t="str">
        <x:v> </x:v>
      </x:c>
    </x:row>
    <x:row r="11" ht="15" hidden="0" customHeight="1">
      <x:c r="A11" s="18" t="str">
        <x:v>TOTAL</x:v>
      </x:c>
      <x:c r="B11" s="18" t="n">
        <x:f>SUM(B5:B10)</x:f>
        <x:v>299</x:v>
      </x:c>
      <x:c r="C11" s="20" t="n">
        <x:f>SUM(C5:C10)</x:f>
        <x:v>39664</x:v>
      </x:c>
      <x:c r="D11" s="22" t="n">
        <x:v>1</x:v>
      </x:c>
      <x:c r="E11" s="18" t="str">
        <x:v>Separate targets</x:v>
      </x:c>
      <x:c r="F11" s="18" t="str">
        <x:v>All planned sources represented</x:v>
      </x:c>
      <x:c r="G11" s="32" t="str">
        <x:v> </x:v>
      </x:c>
    </x:row>
    <x:row r="12" ht="6" customHeight="1">
      <x:c r="A12" s="32" t="str">
        <x:v> </x:v>
      </x:c>
      <x:c r="B12" s="32" t="str">
        <x:v> </x:v>
      </x:c>
      <x:c r="C12" s="32" t="str">
        <x:v> </x:v>
      </x:c>
      <x:c r="D12" s="32" t="str">
        <x:v> </x:v>
      </x:c>
      <x:c r="E12" s="32" t="str">
        <x:v> </x:v>
      </x:c>
      <x:c r="F12" s="32" t="str">
        <x:v> </x:v>
      </x:c>
      <x:c r="G12" s="32" t="str">
        <x:v> 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486a31524b14f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17" hidden="0" customWidth="1"/>
    <x:col min="4" max="4" width="17" hidden="0" customWidth="1"/>
    <x:col min="5" max="5" width="2" hidden="0" customWidth="1"/>
  </x:cols>
  <x:sheetData>
    <x:row r="1" ht="15" hidden="0" customHeight="1">
      <x:c r="A1" s="12" t="str">
        <x:v>Label family</x:v>
      </x:c>
      <x:c r="B1" s="12" t="str">
        <x:v>Exact/derived value</x:v>
      </x:c>
      <x:c r="C1" s="12" t="str">
        <x:v>Row count</x:v>
      </x:c>
      <x:c r="D1" s="12" t="str">
        <x:v>Share within family</x:v>
      </x:c>
      <x:c r="E1" s="32" t="str">
        <x:v> </x:v>
      </x:c>
    </x:row>
    <x:row r="2" ht="15" hidden="0" customHeight="1">
      <x:c r="A2" s="16" t="str">
        <x:v>beat_symbol_original</x:v>
      </x:c>
      <x:c r="B2" s="16" t="str">
        <x:v>/</x:v>
      </x:c>
      <x:c r="C2" s="19" t="n">
        <x:v>633</x:v>
      </x:c>
      <x:c r="D2" s="21" t="n">
        <x:f>C2/SUMIF($A$2:$A$47,A2,$C$2:$C$47)</x:f>
        <x:v>0.040444700019168105</x:v>
      </x:c>
      <x:c r="E2" s="32" t="str">
        <x:v> </x:v>
      </x:c>
    </x:row>
    <x:row r="3" ht="15" hidden="0" customHeight="1">
      <x:c r="A3" s="16" t="str">
        <x:v>beat_symbol_original</x:v>
      </x:c>
      <x:c r="B3" s="16" t="str">
        <x:v>A</x:v>
      </x:c>
      <x:c r="C3" s="19" t="n">
        <x:v>646</x:v>
      </x:c>
      <x:c r="D3" s="21" t="n">
        <x:f>C3/SUMIF($A$2:$A$47,A3,$C$2:$C$47)</x:f>
        <x:v>0.041275317871062554</x:v>
      </x:c>
      <x:c r="E3" s="32" t="str">
        <x:v> </x:v>
      </x:c>
    </x:row>
    <x:row r="4" ht="15" hidden="0" customHeight="1">
      <x:c r="A4" s="16" t="str">
        <x:v>beat_symbol_original</x:v>
      </x:c>
      <x:c r="B4" s="16" t="str">
        <x:v>E</x:v>
      </x:c>
      <x:c r="C4" s="19" t="n">
        <x:v>104</x:v>
      </x:c>
      <x:c r="D4" s="21" t="n">
        <x:f>C4/SUMIF($A$2:$A$47,A4,$C$2:$C$47)</x:f>
        <x:v>0.006644942815155581</x:v>
      </x:c>
      <x:c r="E4" s="32" t="str">
        <x:v> </x:v>
      </x:c>
    </x:row>
    <x:row r="5" ht="15" hidden="0" customHeight="1">
      <x:c r="A5" s="16" t="str">
        <x:v>beat_symbol_original</x:v>
      </x:c>
      <x:c r="B5" s="16" t="str">
        <x:v>F</x:v>
      </x:c>
      <x:c r="C5" s="19" t="n">
        <x:v>129</x:v>
      </x:c>
      <x:c r="D5" s="21" t="n">
        <x:f>C5/SUMIF($A$2:$A$47,A5,$C$2:$C$47)</x:f>
        <x:v>0.008242284838029518</x:v>
      </x:c>
      <x:c r="E5" s="32" t="str">
        <x:v> </x:v>
      </x:c>
    </x:row>
    <x:row r="6" ht="15" hidden="0" customHeight="1">
      <x:c r="A6" s="16" t="str">
        <x:v>beat_symbol_original</x:v>
      </x:c>
      <x:c r="B6" s="16" t="str">
        <x:v>J</x:v>
      </x:c>
      <x:c r="C6" s="19" t="n">
        <x:v>81</x:v>
      </x:c>
      <x:c r="D6" s="21" t="n">
        <x:f>C6/SUMIF($A$2:$A$47,A6,$C$2:$C$47)</x:f>
        <x:v>0.005175388154111558</x:v>
      </x:c>
      <x:c r="E6" s="32" t="str">
        <x:v> </x:v>
      </x:c>
    </x:row>
    <x:row r="7" ht="15" hidden="0" customHeight="1">
      <x:c r="A7" s="16" t="str">
        <x:v>beat_symbol_original</x:v>
      </x:c>
      <x:c r="B7" s="16" t="str">
        <x:v>L</x:v>
      </x:c>
      <x:c r="C7" s="19" t="n">
        <x:v>658</x:v>
      </x:c>
      <x:c r="D7" s="21" t="n">
        <x:f>C7/SUMIF($A$2:$A$47,A7,$C$2:$C$47)</x:f>
        <x:v>0.042042042042042045</x:v>
      </x:c>
      <x:c r="E7" s="32" t="str">
        <x:v> </x:v>
      </x:c>
    </x:row>
    <x:row r="8" ht="15" hidden="0" customHeight="1">
      <x:c r="A8" s="16" t="str">
        <x:v>beat_symbol_original</x:v>
      </x:c>
      <x:c r="B8" s="16" t="str">
        <x:v>N</x:v>
      </x:c>
      <x:c r="C8" s="19" t="n">
        <x:v>9776</x:v>
      </x:c>
      <x:c r="D8" s="21" t="n">
        <x:f>C8/SUMIF($A$2:$A$47,A8,$C$2:$C$47)</x:f>
        <x:v>0.6246246246246246</x:v>
      </x:c>
      <x:c r="E8" s="32" t="str">
        <x:v> </x:v>
      </x:c>
    </x:row>
    <x:row r="9" ht="15" hidden="0" customHeight="1">
      <x:c r="A9" s="16" t="str">
        <x:v>beat_symbol_original</x:v>
      </x:c>
      <x:c r="B9" s="16" t="str">
        <x:v>Q</x:v>
      </x:c>
      <x:c r="C9" s="19" t="n">
        <x:v>21</x:v>
      </x:c>
      <x:c r="D9" s="21" t="n">
        <x:f>C9/SUMIF($A$2:$A$47,A9,$C$2:$C$47)</x:f>
        <x:v>0.0013417672992141077</x:v>
      </x:c>
      <x:c r="E9" s="32" t="str">
        <x:v> </x:v>
      </x:c>
    </x:row>
    <x:row r="10" ht="15" hidden="0" customHeight="1">
      <x:c r="A10" s="16" t="str">
        <x:v>beat_symbol_original</x:v>
      </x:c>
      <x:c r="B10" s="16" t="str">
        <x:v>R</x:v>
      </x:c>
      <x:c r="C10" s="19" t="n">
        <x:v>2004</x:v>
      </x:c>
      <x:c r="D10" s="21" t="n">
        <x:f>C10/SUMIF($A$2:$A$47,A10,$C$2:$C$47)</x:f>
        <x:v>0.12804293655357485</x:v>
      </x:c>
      <x:c r="E10" s="32" t="str">
        <x:v> </x:v>
      </x:c>
    </x:row>
    <x:row r="11" ht="15" hidden="0" customHeight="1">
      <x:c r="A11" s="16" t="str">
        <x:v>beat_symbol_original</x:v>
      </x:c>
      <x:c r="B11" s="16" t="str">
        <x:v>S</x:v>
      </x:c>
      <x:c r="C11" s="19" t="n">
        <x:v>2</x:v>
      </x:c>
      <x:c r="D11" s="21" t="n">
        <x:f>C11/SUMIF($A$2:$A$47,A11,$C$2:$C$47)</x:f>
        <x:v>0.00012778736182991502</x:v>
      </x:c>
      <x:c r="E11" s="32" t="str">
        <x:v> </x:v>
      </x:c>
    </x:row>
    <x:row r="12" ht="15" hidden="0" customHeight="1">
      <x:c r="A12" s="16" t="str">
        <x:v>beat_symbol_original</x:v>
      </x:c>
      <x:c r="B12" s="16" t="str">
        <x:v>V</x:v>
      </x:c>
      <x:c r="C12" s="19" t="n">
        <x:v>1349</x:v>
      </x:c>
      <x:c r="D12" s="21" t="n">
        <x:f>C12/SUMIF($A$2:$A$47,A12,$C$2:$C$47)</x:f>
        <x:v>0.08619257555427769</x:v>
      </x:c>
      <x:c r="E12" s="32" t="str">
        <x:v> </x:v>
      </x:c>
    </x:row>
    <x:row r="13" ht="15" hidden="0" customHeight="1">
      <x:c r="A13" s="16" t="str">
        <x:v>beat_symbol_original</x:v>
      </x:c>
      <x:c r="B13" s="16" t="str">
        <x:v>a</x:v>
      </x:c>
      <x:c r="C13" s="19" t="n">
        <x:v>68</x:v>
      </x:c>
      <x:c r="D13" s="21" t="n">
        <x:f>C13/SUMIF($A$2:$A$47,A13,$C$2:$C$47)</x:f>
        <x:v>0.004344770302217111</x:v>
      </x:c>
      <x:c r="E13" s="32" t="str">
        <x:v> </x:v>
      </x:c>
    </x:row>
    <x:row r="14" ht="15" hidden="0" customHeight="1">
      <x:c r="A14" s="16" t="str">
        <x:v>beat_symbol_original</x:v>
      </x:c>
      <x:c r="B14" s="16" t="str">
        <x:v>e</x:v>
      </x:c>
      <x:c r="C14" s="19" t="n">
        <x:v>7</x:v>
      </x:c>
      <x:c r="D14" s="21" t="n">
        <x:f>C14/SUMIF($A$2:$A$47,A14,$C$2:$C$47)</x:f>
        <x:v>0.0004472557664047026</x:v>
      </x:c>
      <x:c r="E14" s="32" t="str">
        <x:v> </x:v>
      </x:c>
    </x:row>
    <x:row r="15" ht="15" hidden="0" customHeight="1">
      <x:c r="A15" s="16" t="str">
        <x:v>beat_symbol_original</x:v>
      </x:c>
      <x:c r="B15" s="16" t="str">
        <x:v>f</x:v>
      </x:c>
      <x:c r="C15" s="19" t="n">
        <x:v>119</x:v>
      </x:c>
      <x:c r="D15" s="21" t="n">
        <x:f>C15/SUMIF($A$2:$A$47,A15,$C$2:$C$47)</x:f>
        <x:v>0.007603348028879944</x:v>
      </x:c>
      <x:c r="E15" s="32" t="str">
        <x:v> </x:v>
      </x:c>
    </x:row>
    <x:row r="16" ht="15" hidden="0" customHeight="1">
      <x:c r="A16" s="16" t="str">
        <x:v>beat_symbol_original</x:v>
      </x:c>
      <x:c r="B16" s="16" t="str">
        <x:v>j</x:v>
      </x:c>
      <x:c r="C16" s="19" t="n">
        <x:v>54</x:v>
      </x:c>
      <x:c r="D16" s="21" t="n">
        <x:f>C16/SUMIF($A$2:$A$47,A16,$C$2:$C$47)</x:f>
        <x:v>0.0034502587694077054</x:v>
      </x:c>
      <x:c r="E16" s="32" t="str">
        <x:v> </x:v>
      </x:c>
    </x:row>
    <x:row r="17" ht="15" hidden="0" customHeight="1">
      <x:c r="A17" s="16" t="str">
        <x:v>beat_aami_derived</x:v>
      </x:c>
      <x:c r="B17" s="16" t="str">
        <x:v>F</x:v>
      </x:c>
      <x:c r="C17" s="19" t="n">
        <x:v>129</x:v>
      </x:c>
      <x:c r="D17" s="21" t="n">
        <x:f>C17/SUMIF($A$2:$A$47,A17,$C$2:$C$47)</x:f>
        <x:v>0.008242284838029518</x:v>
      </x:c>
      <x:c r="E17" s="32" t="str">
        <x:v> </x:v>
      </x:c>
    </x:row>
    <x:row r="18" ht="15" hidden="0" customHeight="1">
      <x:c r="A18" s="16" t="str">
        <x:v>beat_aami_derived</x:v>
      </x:c>
      <x:c r="B18" s="16" t="str">
        <x:v>N</x:v>
      </x:c>
      <x:c r="C18" s="19" t="n">
        <x:v>12499</x:v>
      </x:c>
      <x:c r="D18" s="21" t="n">
        <x:f>C18/SUMIF($A$2:$A$47,A18,$C$2:$C$47)</x:f>
        <x:v>0.798607117756054</x:v>
      </x:c>
      <x:c r="E18" s="32" t="str">
        <x:v> </x:v>
      </x:c>
    </x:row>
    <x:row r="19" ht="15" hidden="0" customHeight="1">
      <x:c r="A19" s="16" t="str">
        <x:v>beat_aami_derived</x:v>
      </x:c>
      <x:c r="B19" s="16" t="str">
        <x:v>Q</x:v>
      </x:c>
      <x:c r="C19" s="19" t="n">
        <x:v>773</x:v>
      </x:c>
      <x:c r="D19" s="21" t="n">
        <x:f>C19/SUMIF($A$2:$A$47,A19,$C$2:$C$47)</x:f>
        <x:v>0.04938981534726215</x:v>
      </x:c>
      <x:c r="E19" s="32" t="str">
        <x:v> </x:v>
      </x:c>
    </x:row>
    <x:row r="20" ht="15" hidden="0" customHeight="1">
      <x:c r="A20" s="16" t="str">
        <x:v>beat_aami_derived</x:v>
      </x:c>
      <x:c r="B20" s="16" t="str">
        <x:v>S</x:v>
      </x:c>
      <x:c r="C20" s="19" t="n">
        <x:v>797</x:v>
      </x:c>
      <x:c r="D20" s="21" t="n">
        <x:f>C20/SUMIF($A$2:$A$47,A20,$C$2:$C$47)</x:f>
        <x:v>0.050923263689221135</x:v>
      </x:c>
      <x:c r="E20" s="32" t="str">
        <x:v> </x:v>
      </x:c>
    </x:row>
    <x:row r="21" ht="15" hidden="0" customHeight="1">
      <x:c r="A21" s="16" t="str">
        <x:v>beat_aami_derived</x:v>
      </x:c>
      <x:c r="B21" s="16" t="str">
        <x:v>V</x:v>
      </x:c>
      <x:c r="C21" s="19" t="n">
        <x:v>1453</x:v>
      </x:c>
      <x:c r="D21" s="21" t="n">
        <x:f>C21/SUMIF($A$2:$A$47,A21,$C$2:$C$47)</x:f>
        <x:v>0.09283751836943327</x:v>
      </x:c>
      <x:c r="E21" s="32" t="str">
        <x:v> </x:v>
      </x:c>
    </x:row>
    <x:row r="22" ht="15" hidden="0" customHeight="1">
      <x:c r="A22" s="16" t="str">
        <x:v>quality_consensus_original</x:v>
      </x:c>
      <x:c r="B22" s="16" t="str">
        <x:v>0</x:v>
      </x:c>
      <x:c r="C22" s="19" t="n">
        <x:v>128</x:v>
      </x:c>
      <x:c r="D22" s="21" t="n">
        <x:f>C22/SUMIF($A$2:$A$47,A22,$C$2:$C$47)</x:f>
        <x:v>0.01247441769808011</x:v>
      </x:c>
      <x:c r="E22" s="32" t="str">
        <x:v> </x:v>
      </x:c>
    </x:row>
    <x:row r="23" ht="15" hidden="0" customHeight="1">
      <x:c r="A23" s="16" t="str">
        <x:v>quality_consensus_original</x:v>
      </x:c>
      <x:c r="B23" s="16" t="str">
        <x:v>1</x:v>
      </x:c>
      <x:c r="C23" s="19" t="n">
        <x:v>4952</x:v>
      </x:c>
      <x:c r="D23" s="21" t="n">
        <x:f>C23/SUMIF($A$2:$A$47,A23,$C$2:$C$47)</x:f>
        <x:v>0.4826040346944742</x:v>
      </x:c>
      <x:c r="E23" s="32" t="str">
        <x:v> </x:v>
      </x:c>
    </x:row>
    <x:row r="24" ht="15" hidden="0" customHeight="1">
      <x:c r="A24" s="16" t="str">
        <x:v>quality_consensus_original</x:v>
      </x:c>
      <x:c r="B24" s="16" t="str">
        <x:v>2</x:v>
      </x:c>
      <x:c r="C24" s="19" t="n">
        <x:v>4379</x:v>
      </x:c>
      <x:c r="D24" s="21" t="n">
        <x:f>C24/SUMIF($A$2:$A$47,A24,$C$2:$C$47)</x:f>
        <x:v>0.42676152421791247</x:v>
      </x:c>
      <x:c r="E24" s="32" t="str">
        <x:v> </x:v>
      </x:c>
    </x:row>
    <x:row r="25" ht="15" hidden="0" customHeight="1">
      <x:c r="A25" s="16" t="str">
        <x:v>quality_consensus_original</x:v>
      </x:c>
      <x:c r="B25" s="16" t="str">
        <x:v>3</x:v>
      </x:c>
      <x:c r="C25" s="19" t="n">
        <x:v>802</x:v>
      </x:c>
      <x:c r="D25" s="21" t="n">
        <x:f>C25/SUMIF($A$2:$A$47,A25,$C$2:$C$47)</x:f>
        <x:v>0.07816002338953318</x:v>
      </x:c>
      <x:c r="E25" s="32" t="str">
        <x:v> </x:v>
      </x:c>
    </x:row>
    <x:row r="26" ht="15" hidden="0" customHeight="1">
      <x:c r="A26" s="16" t="str">
        <x:v>seizure_binary</x:v>
      </x:c>
      <x:c r="B26" s="16" t="str">
        <x:v>ictal</x:v>
      </x:c>
      <x:c r="C26" s="19" t="n">
        <x:v>1156</x:v>
      </x:c>
      <x:c r="D26" s="21" t="n">
        <x:f>C26/SUMIF($A$2:$A$47,A26,$C$2:$C$47)</x:f>
        <x:v>0.1018861272695223</x:v>
      </x:c>
      <x:c r="E26" s="32" t="str">
        <x:v> </x:v>
      </x:c>
    </x:row>
    <x:row r="27" ht="15" hidden="0" customHeight="1">
      <x:c r="A27" s="16" t="str">
        <x:v>seizure_binary</x:v>
      </x:c>
      <x:c r="B27" s="16" t="str">
        <x:v>non_ictal</x:v>
      </x:c>
      <x:c r="C27" s="19" t="n">
        <x:v>10190</x:v>
      </x:c>
      <x:c r="D27" s="21" t="n">
        <x:f>C27/SUMIF($A$2:$A$47,A27,$C$2:$C$47)</x:f>
        <x:v>0.8981138727304777</x:v>
      </x:c>
      <x:c r="E27" s="32" t="str">
        <x:v> </x:v>
      </x:c>
    </x:row>
    <x:row r="28" ht="15" hidden="0" customHeight="1">
      <x:c r="A28" s="16" t="str">
        <x:v>seizure_phase_derived</x:v>
      </x:c>
      <x:c r="B28" s="16" t="str">
        <x:v>ictal</x:v>
      </x:c>
      <x:c r="C28" s="19" t="n">
        <x:v>1156</x:v>
      </x:c>
      <x:c r="D28" s="21" t="n">
        <x:f>C28/SUMIF($A$2:$A$47,A28,$C$2:$C$47)</x:f>
        <x:v>0.1018861272695223</x:v>
      </x:c>
      <x:c r="E28" s="32" t="str">
        <x:v> </x:v>
      </x:c>
    </x:row>
    <x:row r="29" ht="15" hidden="0" customHeight="1">
      <x:c r="A29" s="16" t="str">
        <x:v>seizure_phase_derived</x:v>
      </x:c>
      <x:c r="B29" s="16" t="str">
        <x:v>interictal</x:v>
      </x:c>
      <x:c r="C29" s="19" t="n">
        <x:v>1984</x:v>
      </x:c>
      <x:c r="D29" s="21" t="n">
        <x:f>C29/SUMIF($A$2:$A$47,A29,$C$2:$C$47)</x:f>
        <x:v>0.17486338797814208</x:v>
      </x:c>
      <x:c r="E29" s="32" t="str">
        <x:v> </x:v>
      </x:c>
    </x:row>
    <x:row r="30" ht="15" hidden="0" customHeight="1">
      <x:c r="A30" s="16" t="str">
        <x:v>seizure_phase_derived</x:v>
      </x:c>
      <x:c r="B30" s="16" t="str">
        <x:v>postictal_5min</x:v>
      </x:c>
      <x:c r="C30" s="19" t="n">
        <x:v>4027</x:v>
      </x:c>
      <x:c r="D30" s="21" t="n">
        <x:f>C30/SUMIF($A$2:$A$47,A30,$C$2:$C$47)</x:f>
        <x:v>0.35492684646571476</x:v>
      </x:c>
      <x:c r="E30" s="32" t="str">
        <x:v> </x:v>
      </x:c>
    </x:row>
    <x:row r="31" ht="15" hidden="0" customHeight="1">
      <x:c r="A31" s="16" t="str">
        <x:v>seizure_phase_derived</x:v>
      </x:c>
      <x:c r="B31" s="16" t="str">
        <x:v>preictal_5min</x:v>
      </x:c>
      <x:c r="C31" s="19" t="n">
        <x:v>4179</x:v>
      </x:c>
      <x:c r="D31" s="21" t="n">
        <x:f>C31/SUMIF($A$2:$A$47,A31,$C$2:$C$47)</x:f>
        <x:v>0.36832363828662085</x:v>
      </x:c>
      <x:c r="E31" s="32" t="str">
        <x:v> </x:v>
      </x:c>
    </x:row>
    <x:row r="32" ht="15" hidden="0" customHeight="1">
      <x:c r="A32" s="16" t="str">
        <x:v>noise_condition_original</x:v>
      </x:c>
      <x:c r="B32" s="16" t="str">
        <x:v>+0 dB</x:v>
      </x:c>
      <x:c r="C32" s="19" t="n">
        <x:v>512</x:v>
      </x:c>
      <x:c r="D32" s="21" t="n">
        <x:f>C32/SUMIF($A$2:$A$47,A32,$C$2:$C$47)</x:f>
        <x:v>0.17983842641376888</x:v>
      </x:c>
      <x:c r="E32" s="32" t="str">
        <x:v> </x:v>
      </x:c>
    </x:row>
    <x:row r="33" ht="15" hidden="0" customHeight="1">
      <x:c r="A33" s="16" t="str">
        <x:v>noise_condition_original</x:v>
      </x:c>
      <x:c r="B33" s="16" t="str">
        <x:v>+12 dB</x:v>
      </x:c>
      <x:c r="C33" s="19" t="n">
        <x:v>468</x:v>
      </x:c>
      <x:c r="D33" s="21" t="n">
        <x:f>C33/SUMIF($A$2:$A$47,A33,$C$2:$C$47)</x:f>
        <x:v>0.1643835616438356</x:v>
      </x:c>
      <x:c r="E33" s="32" t="str">
        <x:v> </x:v>
      </x:c>
    </x:row>
    <x:row r="34" ht="15" hidden="0" customHeight="1">
      <x:c r="A34" s="16" t="str">
        <x:v>noise_condition_original</x:v>
      </x:c>
      <x:c r="B34" s="16" t="str">
        <x:v>+18 dB</x:v>
      </x:c>
      <x:c r="C34" s="19" t="n">
        <x:v>441</x:v>
      </x:c>
      <x:c r="D34" s="21" t="n">
        <x:f>C34/SUMIF($A$2:$A$47,A34,$C$2:$C$47)</x:f>
        <x:v>0.15489989462592202</x:v>
      </x:c>
      <x:c r="E34" s="32" t="str">
        <x:v> </x:v>
      </x:c>
    </x:row>
    <x:row r="35" ht="15" hidden="0" customHeight="1">
      <x:c r="A35" s="16" t="str">
        <x:v>noise_condition_original</x:v>
      </x:c>
      <x:c r="B35" s="16" t="str">
        <x:v>+24 dB</x:v>
      </x:c>
      <x:c r="C35" s="19" t="n">
        <x:v>432</x:v>
      </x:c>
      <x:c r="D35" s="21" t="n">
        <x:f>C35/SUMIF($A$2:$A$47,A35,$C$2:$C$47)</x:f>
        <x:v>0.1517386722866175</x:v>
      </x:c>
      <x:c r="E35" s="32" t="str">
        <x:v> </x:v>
      </x:c>
    </x:row>
    <x:row r="36" ht="15" hidden="0" customHeight="1">
      <x:c r="A36" s="16" t="str">
        <x:v>noise_condition_original</x:v>
      </x:c>
      <x:c r="B36" s="16" t="str">
        <x:v>+6 dB</x:v>
      </x:c>
      <x:c r="C36" s="19" t="n">
        <x:v>508</x:v>
      </x:c>
      <x:c r="D36" s="21" t="n">
        <x:f>C36/SUMIF($A$2:$A$47,A36,$C$2:$C$47)</x:f>
        <x:v>0.17843343870741132</x:v>
      </x:c>
      <x:c r="E36" s="32" t="str">
        <x:v> </x:v>
      </x:c>
    </x:row>
    <x:row r="37" ht="15" hidden="0" customHeight="1">
      <x:c r="A37" s="16" t="str">
        <x:v>noise_condition_original</x:v>
      </x:c>
      <x:c r="B37" s="16" t="str">
        <x:v>-6 dB</x:v>
      </x:c>
      <x:c r="C37" s="19" t="n">
        <x:v>486</x:v>
      </x:c>
      <x:c r="D37" s="21" t="n">
        <x:f>C37/SUMIF($A$2:$A$47,A37,$C$2:$C$47)</x:f>
        <x:v>0.17070600632244468</x:v>
      </x:c>
      <x:c r="E37" s="32" t="str">
        <x:v> </x:v>
      </x:c>
    </x:row>
    <x:row r="38" ht="15" hidden="0" customHeight="1">
      <x:c r="A38" s="16" t="str">
        <x:v>target_artifact_binary</x:v>
      </x:c>
      <x:c r="B38" s="16" t="str">
        <x:v>0</x:v>
      </x:c>
      <x:c r="C38" s="19" t="n">
        <x:v>5055</x:v>
      </x:c>
      <x:c r="D38" s="21" t="n">
        <x:f>C38/SUMIF($A$2:$A$47,A38,$C$2:$C$47)</x:f>
        <x:v>0.44667314659362023</x:v>
      </x:c>
      <x:c r="E38" s="32" t="str">
        <x:v> </x:v>
      </x:c>
    </x:row>
    <x:row r="39" ht="15" hidden="0" customHeight="1">
      <x:c r="A39" s="16" t="str">
        <x:v>target_artifact_binary</x:v>
      </x:c>
      <x:c r="B39" s="16" t="str">
        <x:v>1</x:v>
      </x:c>
      <x:c r="C39" s="19" t="n">
        <x:v>6262</x:v>
      </x:c>
      <x:c r="D39" s="21" t="n">
        <x:f>C39/SUMIF($A$2:$A$47,A39,$C$2:$C$47)</x:f>
        <x:v>0.5533268534063798</x:v>
      </x:c>
      <x:c r="E39" s="32" t="str">
        <x:v> </x:v>
      </x:c>
    </x:row>
    <x:row r="40" ht="15" hidden="0" customHeight="1">
      <x:c r="A40" s="16" t="str">
        <x:v>target_seizure_binary</x:v>
      </x:c>
      <x:c r="B40" s="16" t="str">
        <x:v>0</x:v>
      </x:c>
      <x:c r="C40" s="19" t="n">
        <x:v>10190</x:v>
      </x:c>
      <x:c r="D40" s="21" t="n">
        <x:f>C40/SUMIF($A$2:$A$47,A40,$C$2:$C$47)</x:f>
        <x:v>0.8981138727304777</x:v>
      </x:c>
      <x:c r="E40" s="32" t="str">
        <x:v> </x:v>
      </x:c>
    </x:row>
    <x:row r="41" ht="15" hidden="0" customHeight="1">
      <x:c r="A41" s="16" t="str">
        <x:v>target_seizure_binary</x:v>
      </x:c>
      <x:c r="B41" s="16" t="str">
        <x:v>1</x:v>
      </x:c>
      <x:c r="C41" s="19" t="n">
        <x:v>1156</x:v>
      </x:c>
      <x:c r="D41" s="21" t="n">
        <x:f>C41/SUMIF($A$2:$A$47,A41,$C$2:$C$47)</x:f>
        <x:v>0.1018861272695223</x:v>
      </x:c>
      <x:c r="E41" s="32" t="str">
        <x:v> </x:v>
      </x:c>
    </x:row>
    <x:row r="42" ht="15" hidden="0" customHeight="1">
      <x:c r="A42" s="16" t="str">
        <x:v>target_abnormal_beat_binary</x:v>
      </x:c>
      <x:c r="B42" s="16" t="str">
        <x:v>0</x:v>
      </x:c>
      <x:c r="C42" s="19" t="n">
        <x:v>12499</x:v>
      </x:c>
      <x:c r="D42" s="21" t="n">
        <x:f>C42/SUMIF($A$2:$A$47,A42,$C$2:$C$47)</x:f>
        <x:v>0.798607117756054</x:v>
      </x:c>
      <x:c r="E42" s="32" t="str">
        <x:v> </x:v>
      </x:c>
    </x:row>
    <x:row r="43" ht="15" hidden="0" customHeight="1">
      <x:c r="A43" s="16" t="str">
        <x:v>target_abnormal_beat_binary</x:v>
      </x:c>
      <x:c r="B43" s="16" t="str">
        <x:v>1</x:v>
      </x:c>
      <x:c r="C43" s="19" t="n">
        <x:v>3152</x:v>
      </x:c>
      <x:c r="D43" s="21" t="n">
        <x:f>C43/SUMIF($A$2:$A$47,A43,$C$2:$C$47)</x:f>
        <x:v>0.20139288224394608</x:v>
      </x:c>
      <x:c r="E43" s="32" t="str">
        <x:v> </x:v>
      </x:c>
    </x:row>
    <x:row r="44" ht="15" hidden="0" customHeight="1">
      <x:c r="A44" s="16" t="str">
        <x:v>target_noise_active_binary</x:v>
      </x:c>
      <x:c r="B44" s="16" t="str">
        <x:v>0</x:v>
      </x:c>
      <x:c r="C44" s="19" t="n">
        <x:v>834</x:v>
      </x:c>
      <x:c r="D44" s="21" t="n">
        <x:f>C44/SUMIF($A$2:$A$47,A44,$C$2:$C$47)</x:f>
        <x:v>0.2929399367755532</x:v>
      </x:c>
      <x:c r="E44" s="32" t="str">
        <x:v> </x:v>
      </x:c>
    </x:row>
    <x:row r="45" ht="15" hidden="0" customHeight="1">
      <x:c r="A45" s="16" t="str">
        <x:v>target_noise_active_binary</x:v>
      </x:c>
      <x:c r="B45" s="16" t="str">
        <x:v>1</x:v>
      </x:c>
      <x:c r="C45" s="19" t="n">
        <x:v>2013</x:v>
      </x:c>
      <x:c r="D45" s="21" t="n">
        <x:f>C45/SUMIF($A$2:$A$47,A45,$C$2:$C$47)</x:f>
        <x:v>0.7070600632244468</x:v>
      </x:c>
      <x:c r="E45" s="32" t="str">
        <x:v> </x:v>
      </x:c>
    </x:row>
    <x:row r="46" ht="15" hidden="0" customHeight="1">
      <x:c r="A46" s="16" t="str">
        <x:v>target_signal_unusable_binary</x:v>
      </x:c>
      <x:c r="B46" s="16" t="str">
        <x:v>0</x:v>
      </x:c>
      <x:c r="C46" s="19" t="n">
        <x:v>4221</x:v>
      </x:c>
      <x:c r="D46" s="21" t="n">
        <x:f>C46/SUMIF($A$2:$A$47,A46,$C$2:$C$47)</x:f>
        <x:v>0.8654910805823252</x:v>
      </x:c>
      <x:c r="E46" s="32" t="str">
        <x:v> </x:v>
      </x:c>
    </x:row>
    <x:row r="47" ht="15" hidden="0" customHeight="1">
      <x:c r="A47" s="16" t="str">
        <x:v>target_signal_unusable_binary</x:v>
      </x:c>
      <x:c r="B47" s="16" t="str">
        <x:v>1</x:v>
      </x:c>
      <x:c r="C47" s="19" t="n">
        <x:v>656</x:v>
      </x:c>
      <x:c r="D47" s="21" t="n">
        <x:f>C47/SUMIF($A$2:$A$47,A47,$C$2:$C$47)</x:f>
        <x:v>0.1345089194176748</x:v>
      </x:c>
      <x:c r="E47" s="32" t="str">
        <x:v> </x:v>
      </x:c>
    </x:row>
    <x:row r="48" ht="6" customHeight="1">
      <x:c r="A48" s="32" t="str">
        <x:v> </x:v>
      </x:c>
      <x:c r="B48" s="32" t="str">
        <x:v> </x:v>
      </x:c>
      <x:c r="C48" s="32" t="str">
        <x:v> </x:v>
      </x:c>
      <x:c r="D48" s="32" t="str">
        <x:v> </x:v>
      </x:c>
      <x:c r="E48" s="32" t="str">
        <x:v> </x:v>
      </x:c>
    </x:row>
  </x:sheetData>
  <x:pageMargins left="0.7" right="0.7" top="0.75" bottom="0.75" header="0.3" footer="0.3"/>
  <x:tableParts count="1">
    <x:tablePart xmlns:r="http://schemas.openxmlformats.org/officeDocument/2006/relationships" r:id="R17d0b09f984349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0" hidden="0" customWidth="1"/>
    <x:col min="4" max="4" width="22" hidden="0" customWidth="1"/>
    <x:col min="5" max="5" width="22" hidden="0" customWidth="1"/>
    <x:col min="6" max="6" width="36" hidden="0" customWidth="1"/>
    <x:col min="7" max="7" width="54" hidden="0" customWidth="1"/>
    <x:col min="8" max="8" width="2" hidden="0" customWidth="1"/>
  </x:cols>
  <x:sheetData>
    <x:row r="1" ht="15" hidden="0" customHeight="1">
      <x:c r="A1" s="12" t="str">
        <x:v>Task</x:v>
      </x:c>
      <x:c r="B1" s="12" t="str">
        <x:v>Eligible rows</x:v>
      </x:c>
      <x:c r="C1" s="12" t="str">
        <x:v>Target column(s)</x:v>
      </x:c>
      <x:c r="D1" s="12" t="str">
        <x:v>Group column</x:v>
      </x:c>
      <x:c r="E1" s="12" t="str">
        <x:v>Fold column</x:v>
      </x:c>
      <x:c r="F1" s="12" t="str">
        <x:v>CSV view</x:v>
      </x:c>
      <x:c r="G1" s="12" t="str">
        <x:v>Training note</x:v>
      </x:c>
      <x:c r="H1" s="32" t="str">
        <x:v> </x:v>
      </x:c>
    </x:row>
    <x:row r="2" ht="36" hidden="0" customHeight="1">
      <x:c r="A2" s="16" t="str">
        <x:v>beat_symbol</x:v>
      </x:c>
      <x:c r="B2" s="19" t="n">
        <x:v>15651</x:v>
      </x:c>
      <x:c r="C2" s="16" t="str">
        <x:v>label_beat_symbol_original
label_beat_aami_superclass_derived
label_beat_context5_original_json</x:v>
      </x:c>
      <x:c r="D2" s="16" t="str">
        <x:v>lineage_group_id</x:v>
      </x:c>
      <x:c r="E2" s="16" t="str">
        <x:v>suggested_cv_fold</x:v>
      </x:c>
      <x:c r="F2" s="16" t="str">
        <x:v>model_tasks/beat_symbol.csv</x:v>
      </x:c>
      <x:c r="G2" s="16" t="str">
        <x:v>Fit each branch subset separately; impute inside training folds.</x:v>
      </x:c>
      <x:c r="H2" s="32" t="str">
        <x:v> </x:v>
      </x:c>
    </x:row>
    <x:row r="3" ht="15" hidden="0" customHeight="1">
      <x:c r="A3" s="16" t="str">
        <x:v>beat_aami</x:v>
      </x:c>
      <x:c r="B3" s="19" t="n">
        <x:v>15651</x:v>
      </x:c>
      <x:c r="C3" s="16" t="str">
        <x:v>label_beat_aami_superclass_derived</x:v>
      </x:c>
      <x:c r="D3" s="16" t="str">
        <x:v>lineage_group_id</x:v>
      </x:c>
      <x:c r="E3" s="16" t="str">
        <x:v>suggested_cv_fold</x:v>
      </x:c>
      <x:c r="F3" s="16" t="str">
        <x:v>model_tasks/beat_aami.csv</x:v>
      </x:c>
      <x:c r="G3" s="16" t="str">
        <x:v>Fit each branch subset separately; impute inside training folds.</x:v>
      </x:c>
      <x:c r="H3" s="32" t="str">
        <x:v> </x:v>
      </x:c>
    </x:row>
    <x:row r="4" ht="24" hidden="0" customHeight="1">
      <x:c r="A4" s="16" t="str">
        <x:v>signal_quality</x:v>
      </x:c>
      <x:c r="B4" s="19" t="n">
        <x:v>8470</x:v>
      </x:c>
      <x:c r="C4" s="16" t="str">
        <x:v>label_quality_consensus_original
label_quality_consensus_text</x:v>
      </x:c>
      <x:c r="D4" s="16" t="str">
        <x:v>lineage_group_id</x:v>
      </x:c>
      <x:c r="E4" s="16" t="str">
        <x:v>suggested_cv_fold</x:v>
      </x:c>
      <x:c r="F4" s="16" t="str">
        <x:v>model_tasks/signal_quality.csv</x:v>
      </x:c>
      <x:c r="G4" s="16" t="str">
        <x:v>Fit each branch subset separately; impute inside training folds.</x:v>
      </x:c>
      <x:c r="H4" s="32" t="str">
        <x:v> </x:v>
      </x:c>
    </x:row>
    <x:row r="5" ht="24" hidden="0" customHeight="1">
      <x:c r="A5" s="16" t="str">
        <x:v>noise_snr</x:v>
      </x:c>
      <x:c r="B5" s="19" t="n">
        <x:v>2013</x:v>
      </x:c>
      <x:c r="C5" s="16" t="str">
        <x:v>label_noise_condition_original
label_noise_snr_db_original</x:v>
      </x:c>
      <x:c r="D5" s="16" t="str">
        <x:v>lineage_group_id</x:v>
      </x:c>
      <x:c r="E5" s="16" t="str">
        <x:v>suggested_cv_fold</x:v>
      </x:c>
      <x:c r="F5" s="16" t="str">
        <x:v>model_tasks/noise_snr.csv</x:v>
      </x:c>
      <x:c r="G5" s="16" t="str">
        <x:v>Fit each branch subset separately; impute inside training folds.</x:v>
      </x:c>
      <x:c r="H5" s="32" t="str">
        <x:v> </x:v>
      </x:c>
    </x:row>
    <x:row r="6" ht="36" hidden="0" customHeight="1">
      <x:c r="A6" s="16" t="str">
        <x:v>seizure</x:v>
      </x:c>
      <x:c r="B6" s="19" t="n">
        <x:v>11346</x:v>
      </x:c>
      <x:c r="C6" s="16" t="str">
        <x:v>label_seizure_binary
label_seizure_phase_derived
label_seconds_from_seizure_onset</x:v>
      </x:c>
      <x:c r="D6" s="16" t="str">
        <x:v>lineage_group_id</x:v>
      </x:c>
      <x:c r="E6" s="16" t="str">
        <x:v>suggested_cv_fold</x:v>
      </x:c>
      <x:c r="F6" s="16" t="str">
        <x:v>model_tasks/seizure.csv</x:v>
      </x:c>
      <x:c r="G6" s="16" t="str">
        <x:v>Fit each branch subset separately; impute inside training folds.</x:v>
      </x:c>
      <x:c r="H6" s="32" t="str">
        <x:v> </x:v>
      </x:c>
    </x:row>
    <x:row r="7" ht="24" hidden="0" customHeight="1">
      <x:c r="A7" s="16" t="str">
        <x:v>ludb_diagnosis_multilabel</x:v>
      </x:c>
      <x:c r="B7" s="19" t="n">
        <x:v>1454</x:v>
      </x:c>
      <x:c r="C7" s="16" t="str">
        <x:v>label_ludb_diagnoses_original_json
label_ludb_rhythm_original</x:v>
      </x:c>
      <x:c r="D7" s="16" t="str">
        <x:v>lineage_group_id</x:v>
      </x:c>
      <x:c r="E7" s="16" t="str">
        <x:v>suggested_cv_fold</x:v>
      </x:c>
      <x:c r="F7" s="16" t="str">
        <x:v>model_tasks/ludb_diagnosis_multilabel.csv</x:v>
      </x:c>
      <x:c r="G7" s="16" t="str">
        <x:v>Fit each branch subset separately; impute inside training folds.</x:v>
      </x:c>
      <x:c r="H7" s="32" t="str">
        <x:v> </x:v>
      </x:c>
    </x:row>
    <x:row r="8" ht="60" hidden="0" customHeight="1">
      <x:c r="A8" s="16" t="str">
        <x:v>manual_interval_regression</x:v>
      </x:c>
      <x:c r="B8" s="19" t="n">
        <x:v>1665</x:v>
      </x:c>
      <x:c r="C8" s="16" t="str">
        <x:v>label_manual_pr_interval_ms
label_manual_qrs_duration_ms
label_manual_qt_interval_ms
label_manual_jt_interval_ms
label_manual_t_peak_to_end_ms</x:v>
      </x:c>
      <x:c r="D8" s="16" t="str">
        <x:v>lineage_group_id</x:v>
      </x:c>
      <x:c r="E8" s="16" t="str">
        <x:v>suggested_cv_fold</x:v>
      </x:c>
      <x:c r="F8" s="16" t="str">
        <x:v>model_tasks/manual_interval_regression.csv</x:v>
      </x:c>
      <x:c r="G8" s="16" t="str">
        <x:v>Fit each branch subset separately; impute inside training folds.</x:v>
      </x:c>
      <x:c r="H8" s="32" t="str">
        <x:v> </x:v>
      </x:c>
    </x:row>
    <x:row r="9" ht="24" hidden="0" customHeight="1">
      <x:c r="A9" s="16" t="str">
        <x:v>artifact_binary</x:v>
      </x:c>
      <x:c r="B9" s="19" t="n">
        <x:v>11317</x:v>
      </x:c>
      <x:c r="C9" s="16" t="str">
        <x:v>target_artifact_binary
target_artifact_source_derived</x:v>
      </x:c>
      <x:c r="D9" s="16" t="str">
        <x:v>lineage_group_id</x:v>
      </x:c>
      <x:c r="E9" s="16" t="str">
        <x:v>suggested_cv_fold</x:v>
      </x:c>
      <x:c r="F9" s="16" t="str">
        <x:v>model_tasks/artifact_binary.csv</x:v>
      </x:c>
      <x:c r="G9" s="16" t="str">
        <x:v>Fit each branch subset separately; impute inside training folds.</x:v>
      </x:c>
      <x:c r="H9" s="32" t="str">
        <x:v> </x:v>
      </x:c>
    </x:row>
    <x:row r="10" ht="15" hidden="0" customHeight="1">
      <x:c r="A10" s="16" t="str">
        <x:v>seizure_binary</x:v>
      </x:c>
      <x:c r="B10" s="19" t="n">
        <x:v>11346</x:v>
      </x:c>
      <x:c r="C10" s="16" t="str">
        <x:v>target_seizure_binary</x:v>
      </x:c>
      <x:c r="D10" s="16" t="str">
        <x:v>lineage_group_id</x:v>
      </x:c>
      <x:c r="E10" s="16" t="str">
        <x:v>suggested_cv_fold</x:v>
      </x:c>
      <x:c r="F10" s="16" t="str">
        <x:v>model_tasks/seizure_binary.csv</x:v>
      </x:c>
      <x:c r="G10" s="16" t="str">
        <x:v>Fit each branch subset separately; impute inside training folds.</x:v>
      </x:c>
      <x:c r="H10" s="32" t="str">
        <x:v> </x:v>
      </x:c>
    </x:row>
    <x:row r="11" ht="15" hidden="0" customHeight="1">
      <x:c r="A11" s="16" t="str">
        <x:v>abnormal_beat_binary</x:v>
      </x:c>
      <x:c r="B11" s="19" t="n">
        <x:v>15651</x:v>
      </x:c>
      <x:c r="C11" s="16" t="str">
        <x:v>target_abnormal_beat_binary</x:v>
      </x:c>
      <x:c r="D11" s="16" t="str">
        <x:v>lineage_group_id</x:v>
      </x:c>
      <x:c r="E11" s="16" t="str">
        <x:v>suggested_cv_fold</x:v>
      </x:c>
      <x:c r="F11" s="16" t="str">
        <x:v>model_tasks/abnormal_beat_binary.csv</x:v>
      </x:c>
      <x:c r="G11" s="16" t="str">
        <x:v>Fit each branch subset separately; impute inside training folds.</x:v>
      </x:c>
      <x:c r="H11" s="32" t="str">
        <x:v> </x:v>
      </x:c>
    </x:row>
    <x:row r="12" ht="15" hidden="0" customHeight="1">
      <x:c r="A12" s="16" t="str">
        <x:v>noise_active_binary</x:v>
      </x:c>
      <x:c r="B12" s="19" t="n">
        <x:v>2847</x:v>
      </x:c>
      <x:c r="C12" s="16" t="str">
        <x:v>target_noise_active_binary</x:v>
      </x:c>
      <x:c r="D12" s="16" t="str">
        <x:v>lineage_group_id</x:v>
      </x:c>
      <x:c r="E12" s="16" t="str">
        <x:v>suggested_cv_fold</x:v>
      </x:c>
      <x:c r="F12" s="16" t="str">
        <x:v>model_tasks/noise_active_binary.csv</x:v>
      </x:c>
      <x:c r="G12" s="16" t="str">
        <x:v>Fit each branch subset separately; impute inside training folds.</x:v>
      </x:c>
      <x:c r="H12" s="32" t="str">
        <x:v> </x:v>
      </x:c>
    </x:row>
    <x:row r="13" ht="15" hidden="0" customHeight="1">
      <x:c r="A13" s="16" t="str">
        <x:v>signal_unusable_binary</x:v>
      </x:c>
      <x:c r="B13" s="19" t="n">
        <x:v>4877</x:v>
      </x:c>
      <x:c r="C13" s="16" t="str">
        <x:v>target_signal_unusable_binary</x:v>
      </x:c>
      <x:c r="D13" s="16" t="str">
        <x:v>lineage_group_id</x:v>
      </x:c>
      <x:c r="E13" s="16" t="str">
        <x:v>suggested_cv_fold</x:v>
      </x:c>
      <x:c r="F13" s="16" t="str">
        <x:v>model_tasks/signal_unusable_binary.csv</x:v>
      </x:c>
      <x:c r="G13" s="16" t="str">
        <x:v>Fit each branch subset separately; impute inside training folds.</x:v>
      </x:c>
      <x:c r="H13" s="32" t="str">
        <x:v> </x:v>
      </x:c>
    </x:row>
    <x:row r="14" ht="6" customHeight="1">
      <x:c r="A14" s="32" t="str">
        <x:v> </x:v>
      </x:c>
      <x:c r="B14" s="32" t="str">
        <x:v> </x:v>
      </x:c>
      <x:c r="C14" s="32" t="str">
        <x:v> </x:v>
      </x:c>
      <x:c r="D14" s="32" t="str">
        <x:v> </x:v>
      </x:c>
      <x:c r="E14" s="32" t="str">
        <x:v> </x:v>
      </x:c>
      <x:c r="F14" s="32" t="str">
        <x:v> </x:v>
      </x:c>
      <x:c r="G14" s="32" t="str">
        <x:v> </x:v>
      </x:c>
      <x:c r="H14" s="32" t="str">
        <x:v> </x:v>
      </x:c>
    </x:row>
  </x:sheetData>
  <x:pageMargins left="0.7" right="0.7" top="0.75" bottom="0.75" header="0.3" footer="0.3"/>
  <x:tableParts count="1">
    <x:tablePart xmlns:r="http://schemas.openxmlformats.org/officeDocument/2006/relationships" r:id="R00ba4c57ad534d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62" hidden="0" customWidth="1"/>
    <x:col min="4" max="4" width="3" hidden="0" customWidth="1"/>
    <x:col min="5" max="5" width="24" hidden="0" customWidth="1"/>
    <x:col min="6" max="6" width="58" hidden="0" customWidth="1"/>
    <x:col min="7" max="7" width="2" hidden="0" customWidth="1"/>
  </x:cols>
  <x:sheetData>
    <x:row r="1" ht="30" customHeight="1">
      <x:c r="A1" s="3" t="str">
        <x:v>QA, modeling contract, and file map</x:v>
      </x:c>
      <x:c r="B1" s="3"/>
      <x:c r="C1" s="3"/>
      <x:c r="D1" s="3"/>
      <x:c r="E1" s="3"/>
      <x:c r="F1" s="3"/>
      <x:c r="G1" s="32" t="str">
        <x:v> </x:v>
      </x:c>
    </x:row>
    <x:row r="2" ht="34" customHeight="1">
      <x:c r="A2" s="7" t="str">
        <x:v>Green checks are required before classification or post-hoc cluster interpretation.</x:v>
      </x:c>
      <x:c r="B2" s="7"/>
      <x:c r="C2" s="7"/>
      <x:c r="D2" s="7"/>
      <x:c r="E2" s="7"/>
      <x:c r="F2" s="7"/>
      <x:c r="G2" s="32" t="str">
        <x:v> </x:v>
      </x:c>
    </x:row>
    <x:row r="3">
      <x:c r="G3" s="32" t="str">
        <x:v> </x:v>
      </x:c>
    </x:row>
    <x:row r="4" ht="15" hidden="0" customHeight="1">
      <x:c r="A4" s="12" t="str">
        <x:v>Check</x:v>
      </x:c>
      <x:c r="B4" s="12" t="str">
        <x:v>Result</x:v>
      </x:c>
      <x:c r="C4" s="12" t="str">
        <x:v>Interpretation</x:v>
      </x:c>
      <x:c r="E4" s="12" t="str">
        <x:v>Reference</x:v>
      </x:c>
      <x:c r="F4" s="12" t="str">
        <x:v>URL / note</x:v>
      </x:c>
      <x:c r="G4" s="32" t="str">
        <x:v> </x:v>
      </x:c>
    </x:row>
    <x:row r="5" ht="15" hidden="0" customHeight="1">
      <x:c r="A5" s="16" t="str">
        <x:v>Validation status</x:v>
      </x:c>
      <x:c r="B5" s="16" t="str">
        <x:v>PASS</x:v>
      </x:c>
      <x:c r="C5" s="16" t="str">
        <x:v>Strict builder validation</x:v>
      </x:c>
      <x:c r="E5" s="16" t="str">
        <x:v>BUT-QDB</x:v>
      </x:c>
      <x:c r="F5" s="16" t="str">
        <x:v>https://physionet.org/content/butqdb/1.0.0/</x:v>
      </x:c>
      <x:c r="G5" s="32" t="str">
        <x:v> </x:v>
      </x:c>
    </x:row>
    <x:row r="6" ht="15" hidden="0" customHeight="1">
      <x:c r="A6" s="16" t="str">
        <x:v>Failed segments</x:v>
      </x:c>
      <x:c r="B6" s="16" t="n">
        <x:v>0</x:v>
      </x:c>
      <x:c r="C6" s="16" t="str">
        <x:v>Must be zero</x:v>
      </x:c>
      <x:c r="E6" s="16" t="str">
        <x:v>LUDB</x:v>
      </x:c>
      <x:c r="F6" s="16" t="str">
        <x:v>https://physionet.org/content/ludb/1.0.1/</x:v>
      </x:c>
      <x:c r="G6" s="32" t="str">
        <x:v> </x:v>
      </x:c>
    </x:row>
    <x:row r="7" ht="15" hidden="0" customHeight="1">
      <x:c r="A7" s="16" t="str">
        <x:v>Missing planned records</x:v>
      </x:c>
      <x:c r="B7" s="16" t="n">
        <x:v>0</x:v>
      </x:c>
      <x:c r="C7" s="16" t="str">
        <x:v>Must be zero</x:v>
      </x:c>
      <x:c r="E7" s="16" t="str">
        <x:v>QTDB</x:v>
      </x:c>
      <x:c r="F7" s="16" t="str">
        <x:v>https://physionet.org/content/qtdb/1.0.0/</x:v>
      </x:c>
      <x:c r="G7" s="32" t="str">
        <x:v> </x:v>
      </x:c>
    </x:row>
    <x:row r="8" ht="24" hidden="0" customHeight="1">
      <x:c r="A8" s="16" t="str">
        <x:v>Lineage groups crossing folds</x:v>
      </x:c>
      <x:c r="B8" s="16" t="n">
        <x:v>0</x:v>
      </x:c>
      <x:c r="C8" s="16" t="str">
        <x:v>Must be zero</x:v>
      </x:c>
      <x:c r="E8" s="16" t="str">
        <x:v>Local build README</x:v>
      </x:c>
      <x:c r="F8" s="16" t="str">
        <x:v>C:\Users\Salam\Documents\ECGdetector\feature_extraction\outputs\comprehensive_branch_matrix_v1\README.md</x:v>
      </x:c>
      <x:c r="G8" s="32" t="str">
        <x:v> </x:v>
      </x:c>
    </x:row>
    <x:row r="9" ht="15" hidden="0" customHeight="1">
      <x:c r="A9" s="16" t="str">
        <x:v>Feature columns</x:v>
      </x:c>
      <x:c r="B9" s="16" t="n">
        <x:v>52</x:v>
      </x:c>
      <x:c r="C9" s="16" t="str">
        <x:v>Exactly the maintained B1-B4 measurements</x:v>
      </x:c>
      <x:c r="E9" s="16" t="str">
        <x:v>Join rule</x:v>
      </x:c>
      <x:c r="F9" s="16" t="str">
        <x:v>row_id is the only feature-label join key</x:v>
      </x:c>
      <x:c r="G9" s="32" t="str">
        <x:v> </x:v>
      </x:c>
    </x:row>
    <x:row r="10" ht="15" hidden="0" customHeight="1">
      <x:c r="A10" s="16" t="str">
        <x:v>Label columns</x:v>
      </x:c>
      <x:c r="B10" s="16" t="n">
        <x:v>56</x:v>
      </x:c>
      <x:c r="C10" s="16" t="str">
        <x:v>Kept outside X_features.csv</x:v>
      </x:c>
      <x:c r="E10" s="16" t="str">
        <x:v>Split rule</x:v>
      </x:c>
      <x:c r="F10" s="16" t="str">
        <x:v>lineage_group_id / suggested_cv_fold; never random rows</x:v>
      </x:c>
      <x:c r="G10" s="32" t="str">
        <x:v> </x:v>
      </x:c>
    </x:row>
    <x:row r="11" ht="15" hidden="0" customHeight="1">
      <x:c r="A11" s="16" t="str">
        <x:v>Branch combinations</x:v>
      </x:c>
      <x:c r="B11" s="16" t="n">
        <x:v>15</x:v>
      </x:c>
      <x:c r="C11" s="16" t="str">
        <x:v>All non-empty subsets of four branches</x:v>
      </x:c>
      <x:c r="G11" s="32" t="str">
        <x:v> </x:v>
      </x:c>
    </x:row>
    <x:row r="12" ht="15" hidden="0" customHeight="1">
      <x:c r="A12" s="16" t="str">
        <x:v>Missing-value policy</x:v>
      </x:c>
      <x:c r="B12" s="16" t="str">
        <x:v>PRESERVED</x:v>
      </x:c>
      <x:c r="C12" s="16" t="str">
        <x:v>Impute inside each training fold; never replace globally with zero</x:v>
      </x:c>
      <x:c r="G12" s="32" t="str">
        <x:v> </x:v>
      </x:c>
    </x:row>
    <x:row r="13" ht="15" hidden="0" customHeight="1">
      <x:c r="A13" s="16" t="str">
        <x:v>Cluster label policy</x:v>
      </x:c>
      <x:c r="B13" s="16" t="str">
        <x:v>POST-HOC ONLY</x:v>
      </x:c>
      <x:c r="C13" s="16" t="str">
        <x:v>Fit clusters without labels, then join y_labels.csv by row_id</x:v>
      </x:c>
      <x:c r="G13" s="32" t="str">
        <x:v> </x:v>
      </x:c>
    </x:row>
    <x:row r="14">
      <x:c r="G14" s="32" t="str">
        <x:v> </x:v>
      </x:c>
    </x:row>
    <x:row r="15">
      <x:c r="G15" s="32" t="str">
        <x:v> </x:v>
      </x:c>
    </x:row>
    <x:row r="16" ht="15" hidden="0" customHeight="1">
      <x:c r="A16" s="12" t="str">
        <x:v>File</x:v>
      </x:c>
      <x:c r="B16" s="12" t="str">
        <x:v>Purpose</x:v>
      </x:c>
      <x:c r="C16" s="12" t="str">
        <x:v>Location</x:v>
      </x:c>
      <x:c r="G16" s="32" t="str">
        <x:v> </x:v>
      </x:c>
    </x:row>
    <x:row r="17" ht="24" hidden="0" customHeight="1">
      <x:c r="A17" s="16" t="str">
        <x:v>X_features.csv</x:v>
      </x:c>
      <x:c r="B17" s="16" t="str">
        <x:v>Label-free row_id + 52 model inputs</x:v>
      </x:c>
      <x:c r="C17" s="16" t="str">
        <x:v>C:\Users\Salam\Documents\ECGdetector\feature_extraction\outputs\comprehensive_branch_matrix_v1\X_features.csv</x:v>
      </x:c>
      <x:c r="G17" s="32" t="str">
        <x:v> </x:v>
      </x:c>
    </x:row>
    <x:row r="18" ht="24" hidden="0" customHeight="1">
      <x:c r="A18" s="16" t="str">
        <x:v>y_labels.csv</x:v>
      </x:c>
      <x:c r="B18" s="16" t="str">
        <x:v>Keyed original and derived labels</x:v>
      </x:c>
      <x:c r="C18" s="16" t="str">
        <x:v>C:\Users\Salam\Documents\ECGdetector\feature_extraction\outputs\comprehensive_branch_matrix_v1\y_labels.csv</x:v>
      </x:c>
      <x:c r="G18" s="32" t="str">
        <x:v> </x:v>
      </x:c>
    </x:row>
    <x:row r="19" ht="24" hidden="0" customHeight="1">
      <x:c r="A19" s="16" t="str">
        <x:v>observations_with_labels.csv</x:v>
      </x:c>
      <x:c r="B19" s="16" t="str">
        <x:v>Joined audit view; not direct model input</x:v>
      </x:c>
      <x:c r="C19" s="16" t="str">
        <x:v>C:\Users\Salam\Documents\ECGdetector\feature_extraction\outputs\comprehensive_branch_matrix_v1\observations_with_labels.csv</x:v>
      </x:c>
      <x:c r="G19" s="32" t="str">
        <x:v> </x:v>
      </x:c>
    </x:row>
    <x:row r="20" ht="24" hidden="0" customHeight="1">
      <x:c r="A20" s="16" t="str">
        <x:v>row_provenance_and_qc.csv</x:v>
      </x:c>
      <x:c r="B20" s="16" t="str">
        <x:v>Source, split, availability, and QC fields</x:v>
      </x:c>
      <x:c r="C20" s="16" t="str">
        <x:v>C:\Users\Salam\Documents\ECGdetector\feature_extraction\outputs\comprehensive_branch_matrix_v1\row_provenance_and_qc.csv</x:v>
      </x:c>
      <x:c r="G20" s="32" t="str">
        <x:v> </x:v>
      </x:c>
    </x:row>
    <x:row r="21" ht="24" hidden="0" customHeight="1">
      <x:c r="A21" s="16" t="str">
        <x:v>branch_combinations.csv</x:v>
      </x:c>
      <x:c r="B21" s="16" t="str">
        <x:v>All 15 B1-B4 feature subsets</x:v>
      </x:c>
      <x:c r="C21" s="16" t="str">
        <x:v>C:\Users\Salam\Documents\ECGdetector\feature_extraction\outputs\comprehensive_branch_matrix_v1\branch_combinations.csv</x:v>
      </x:c>
      <x:c r="G21" s="32" t="str">
        <x:v> </x:v>
      </x:c>
    </x:row>
    <x:row r="22" ht="24" hidden="0" customHeight="1">
      <x:c r="A22" s="16" t="str">
        <x:v>model_manifest.json</x:v>
      </x:c>
      <x:c r="B22" s="16" t="str">
        <x:v>Targets, task paths, grouping rule</x:v>
      </x:c>
      <x:c r="C22" s="16" t="str">
        <x:v>C:\Users\Salam\Documents\ECGdetector\feature_extraction\outputs\comprehensive_branch_matrix_v1\model_manifest.json</x:v>
      </x:c>
      <x:c r="G22" s="32" t="str">
        <x:v> </x:v>
      </x:c>
    </x:row>
    <x:row r="23" ht="24" hidden="0" customHeight="1">
      <x:c r="A23" s="16" t="str">
        <x:v>validation_report.json</x:v>
      </x:c>
      <x:c r="B23" s="16" t="str">
        <x:v>Strict build metrics</x:v>
      </x:c>
      <x:c r="C23" s="16" t="str">
        <x:v>C:\Users\Salam\Documents\ECGdetector\feature_extraction\outputs\comprehensive_branch_matrix_v1\validation_report.json</x:v>
      </x:c>
      <x:c r="G23" s="32" t="str">
        <x:v> </x:v>
      </x:c>
    </x:row>
    <x:row r="24" ht="6" customHeight="1">
      <x:c r="A24" s="32" t="str">
        <x:v> </x:v>
      </x:c>
      <x:c r="B24" s="32" t="str">
        <x:v> </x:v>
      </x:c>
      <x:c r="C24" s="32" t="str">
        <x:v> </x:v>
      </x:c>
      <x:c r="D24" s="32" t="str">
        <x:v> </x:v>
      </x:c>
      <x:c r="E24" s="32" t="str">
        <x:v> </x:v>
      </x:c>
      <x:c r="F24" s="32" t="str">
        <x:v> </x:v>
      </x:c>
      <x:c r="G24" s="32" t="str">
        <x:v> </x:v>
      </x:c>
    </x:row>
  </x:sheetData>
  <x:mergeCells>
    <x:mergeCell ref="A1:F1"/>
    <x:mergeCell ref="A2:F2"/>
  </x:mergeCells>
  <x:conditionalFormatting sqref="B5:B13">
    <x:cfRule type="containsText" dxfId="0" priority="1" operator="containsText" text="PASS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4" hidden="0" customWidth="1"/>
    <x:col min="4" max="4" width="10" hidden="0" customWidth="1"/>
    <x:col min="5" max="5" width="42" hidden="0" customWidth="1"/>
    <x:col min="6" max="6" width="20" hidden="0" customWidth="1"/>
    <x:col min="7" max="7" width="14" hidden="0" customWidth="1"/>
    <x:col min="8" max="8" width="22" hidden="0" customWidth="1"/>
    <x:col min="9" max="9" width="68" hidden="0" customWidth="1"/>
    <x:col min="10" max="10" width="14" hidden="0" customWidth="1"/>
    <x:col min="11" max="11" width="2" hidden="0" customWidth="1"/>
  </x:cols>
  <x:sheetData>
    <x:row r="1" ht="15" hidden="0" customHeight="1">
      <x:c r="A1" s="28" t="str">
        <x:v>position</x:v>
      </x:c>
      <x:c r="B1" s="28" t="str">
        <x:v>feature_key</x:v>
      </x:c>
      <x:c r="C1" s="28" t="str">
        <x:v>display_label</x:v>
      </x:c>
      <x:c r="D1" s="28" t="str">
        <x:v>branch_code</x:v>
      </x:c>
      <x:c r="E1" s="28" t="str">
        <x:v>branch_name</x:v>
      </x:c>
      <x:c r="F1" s="28" t="str">
        <x:v>feature_family</x:v>
      </x:c>
      <x:c r="G1" s="28" t="str">
        <x:v>unit</x:v>
      </x:c>
      <x:c r="H1" s="28" t="str">
        <x:v>role</x:v>
      </x:c>
      <x:c r="I1" s="28" t="str">
        <x:v>description</x:v>
      </x:c>
      <x:c r="J1" s="28" t="str">
        <x:v>model_input</x:v>
      </x:c>
      <x:c r="K1" s="32" t="str">
        <x:v> </x:v>
      </x:c>
    </x:row>
    <x:row r="2" ht="24" hidden="0" customHeight="1">
      <x:c r="A2" s="29" t="str">
        <x:v>1</x:v>
      </x:c>
      <x:c r="B2" s="16" t="str">
        <x:v>cal_varon_lambda1</x:v>
      </x:c>
      <x:c r="C2" s="16" t="str">
        <x:v>λ1</x:v>
      </x:c>
      <x:c r="D2" s="16" t="str">
        <x:v>B2</x:v>
      </x:c>
      <x:c r="E2" s="16" t="str">
        <x:v>Patient morphology, template morphology, and P-QRS-T morphology</x:v>
      </x:c>
      <x:c r="F2" s="16" t="str">
        <x:v>Varon patient</x:v>
      </x:c>
      <x:c r="G2" s="16" t="str">
        <x:v>energy</x:v>
      </x:c>
      <x:c r="H2" s="16" t="str">
        <x:v>core_measurement</x:v>
      </x:c>
      <x:c r="I2" s="16" t="str">
        <x:v>Dominant five-QRS eigenvalue after the patient/lead asymmetric crop freezes</x:v>
      </x:c>
      <x:c r="J2" s="16" t="str">
        <x:v>True</x:v>
      </x:c>
      <x:c r="K2" s="32" t="str">
        <x:v> </x:v>
      </x:c>
    </x:row>
    <x:row r="3" ht="24" hidden="0" customHeight="1">
      <x:c r="A3" s="29" t="str">
        <x:v>2</x:v>
      </x:c>
      <x:c r="B3" s="16" t="str">
        <x:v>cal_varon_lambda2</x:v>
      </x:c>
      <x:c r="C3" s="16" t="str">
        <x:v>λ2</x:v>
      </x:c>
      <x:c r="D3" s="16" t="str">
        <x:v>B2</x:v>
      </x:c>
      <x:c r="E3" s="16" t="str">
        <x:v>Patient morphology, template morphology, and P-QRS-T morphology</x:v>
      </x:c>
      <x:c r="F3" s="16" t="str">
        <x:v>Varon patient</x:v>
      </x:c>
      <x:c r="G3" s="16" t="str">
        <x:v>energy</x:v>
      </x:c>
      <x:c r="H3" s="16" t="str">
        <x:v>core_measurement</x:v>
      </x:c>
      <x:c r="I3" s="16" t="str">
        <x:v>Second calibrated-crop eigenvalue</x:v>
      </x:c>
      <x:c r="J3" s="16" t="str">
        <x:v>True</x:v>
      </x:c>
      <x:c r="K3" s="32" t="str">
        <x:v> </x:v>
      </x:c>
    </x:row>
    <x:row r="4" ht="24" hidden="0" customHeight="1">
      <x:c r="A4" s="29" t="str">
        <x:v>3</x:v>
      </x:c>
      <x:c r="B4" s="16" t="str">
        <x:v>cal_varon_lambda3</x:v>
      </x:c>
      <x:c r="C4" s="16" t="str">
        <x:v>λ3</x:v>
      </x:c>
      <x:c r="D4" s="16" t="str">
        <x:v>B2</x:v>
      </x:c>
      <x:c r="E4" s="16" t="str">
        <x:v>Patient morphology, template morphology, and P-QRS-T morphology</x:v>
      </x:c>
      <x:c r="F4" s="16" t="str">
        <x:v>Varon patient</x:v>
      </x:c>
      <x:c r="G4" s="16" t="str">
        <x:v>energy</x:v>
      </x:c>
      <x:c r="H4" s="16" t="str">
        <x:v>core_measurement</x:v>
      </x:c>
      <x:c r="I4" s="16" t="str">
        <x:v>Third calibrated-crop eigenvalue</x:v>
      </x:c>
      <x:c r="J4" s="16" t="str">
        <x:v>True</x:v>
      </x:c>
      <x:c r="K4" s="32" t="str">
        <x:v> </x:v>
      </x:c>
    </x:row>
    <x:row r="5" ht="24" hidden="0" customHeight="1">
      <x:c r="A5" s="29" t="str">
        <x:v>4</x:v>
      </x:c>
      <x:c r="B5" s="16" t="str">
        <x:v>cal_varon_lambda4</x:v>
      </x:c>
      <x:c r="C5" s="16" t="str">
        <x:v>λ4</x:v>
      </x:c>
      <x:c r="D5" s="16" t="str">
        <x:v>B2</x:v>
      </x:c>
      <x:c r="E5" s="16" t="str">
        <x:v>Patient morphology, template morphology, and P-QRS-T morphology</x:v>
      </x:c>
      <x:c r="F5" s="16" t="str">
        <x:v>Varon patient</x:v>
      </x:c>
      <x:c r="G5" s="16" t="str">
        <x:v>energy</x:v>
      </x:c>
      <x:c r="H5" s="16" t="str">
        <x:v>core_measurement</x:v>
      </x:c>
      <x:c r="I5" s="16" t="str">
        <x:v>Fourth calibrated-crop eigenvalue</x:v>
      </x:c>
      <x:c r="J5" s="16" t="str">
        <x:v>True</x:v>
      </x:c>
      <x:c r="K5" s="32" t="str">
        <x:v> </x:v>
      </x:c>
    </x:row>
    <x:row r="6" ht="24" hidden="0" customHeight="1">
      <x:c r="A6" s="29" t="str">
        <x:v>5</x:v>
      </x:c>
      <x:c r="B6" s="16" t="str">
        <x:v>cal_varon_lambda5</x:v>
      </x:c>
      <x:c r="C6" s="16" t="str">
        <x:v>λ5</x:v>
      </x:c>
      <x:c r="D6" s="16" t="str">
        <x:v>B2</x:v>
      </x:c>
      <x:c r="E6" s="16" t="str">
        <x:v>Patient morphology, template morphology, and P-QRS-T morphology</x:v>
      </x:c>
      <x:c r="F6" s="16" t="str">
        <x:v>Varon patient</x:v>
      </x:c>
      <x:c r="G6" s="16" t="str">
        <x:v>energy</x:v>
      </x:c>
      <x:c r="H6" s="16" t="str">
        <x:v>core_measurement</x:v>
      </x:c>
      <x:c r="I6" s="16" t="str">
        <x:v>Fifth calibrated-crop eigenvalue</x:v>
      </x:c>
      <x:c r="J6" s="16" t="str">
        <x:v>True</x:v>
      </x:c>
      <x:c r="K6" s="32" t="str">
        <x:v> </x:v>
      </x:c>
    </x:row>
    <x:row r="7" ht="24" hidden="0" customHeight="1">
      <x:c r="A7" s="29" t="str">
        <x:v>6</x:v>
      </x:c>
      <x:c r="B7" s="16" t="str">
        <x:v>template_correlation</x:v>
      </x:c>
      <x:c r="C7" s="16" t="str">
        <x:v>Corr</x:v>
      </x:c>
      <x:c r="D7" s="16" t="str">
        <x:v>B2</x:v>
      </x:c>
      <x:c r="E7" s="16" t="str">
        <x:v>Patient morphology, template morphology, and P-QRS-T morphology</x:v>
      </x:c>
      <x:c r="F7" s="16" t="str">
        <x:v>Template</x:v>
      </x:c>
      <x:c r="G7" s="16" t="str">
        <x:v>r</x:v>
      </x:c>
      <x:c r="H7" s="16" t="str">
        <x:v>core_measurement</x:v>
      </x:c>
      <x:c r="I7" s="16" t="str">
        <x:v>Correlation to the closest frozen patient/lead whole-cycle template</x:v>
      </x:c>
      <x:c r="J7" s="16" t="str">
        <x:v>True</x:v>
      </x:c>
      <x:c r="K7" s="32" t="str">
        <x:v> </x:v>
      </x:c>
    </x:row>
    <x:row r="8" ht="24" hidden="0" customHeight="1">
      <x:c r="A8" s="29" t="str">
        <x:v>7</x:v>
      </x:c>
      <x:c r="B8" s="16" t="str">
        <x:v>template_normalized_rmse</x:v>
      </x:c>
      <x:c r="C8" s="16" t="str">
        <x:v>Shape RMSE</x:v>
      </x:c>
      <x:c r="D8" s="16" t="str">
        <x:v>B2</x:v>
      </x:c>
      <x:c r="E8" s="16" t="str">
        <x:v>Patient morphology, template morphology, and P-QRS-T morphology</x:v>
      </x:c>
      <x:c r="F8" s="16" t="str">
        <x:v>Template</x:v>
      </x:c>
      <x:c r="G8" s="16" t="str">
        <x:v>norm</x:v>
      </x:c>
      <x:c r="H8" s="16" t="str">
        <x:v>core_measurement</x:v>
      </x:c>
      <x:c r="I8" s="16" t="str">
        <x:v>Normalized residual from the closest template</x:v>
      </x:c>
      <x:c r="J8" s="16" t="str">
        <x:v>True</x:v>
      </x:c>
      <x:c r="K8" s="32" t="str">
        <x:v> </x:v>
      </x:c>
    </x:row>
    <x:row r="9" ht="24" hidden="0" customHeight="1">
      <x:c r="A9" s="29" t="str">
        <x:v>8</x:v>
      </x:c>
      <x:c r="B9" s="16" t="str">
        <x:v>template_raw_residual_rms</x:v>
      </x:c>
      <x:c r="C9" s="16" t="str">
        <x:v>Raw residual</x:v>
      </x:c>
      <x:c r="D9" s="16" t="str">
        <x:v>B2</x:v>
      </x:c>
      <x:c r="E9" s="16" t="str">
        <x:v>Patient morphology, template morphology, and P-QRS-T morphology</x:v>
      </x:c>
      <x:c r="F9" s="16" t="str">
        <x:v>Template</x:v>
      </x:c>
      <x:c r="G9" s="16" t="str">
        <x:v>amplitude</x:v>
      </x:c>
      <x:c r="H9" s="16" t="str">
        <x:v>core_measurement</x:v>
      </x:c>
      <x:c r="I9" s="16" t="str">
        <x:v>Amplitude-sensitive residual RMS from the closest template</x:v>
      </x:c>
      <x:c r="J9" s="16" t="str">
        <x:v>True</x:v>
      </x:c>
      <x:c r="K9" s="32" t="str">
        <x:v> </x:v>
      </x:c>
    </x:row>
    <x:row r="10" ht="24" hidden="0" customHeight="1">
      <x:c r="A10" s="29" t="str">
        <x:v>9</x:v>
      </x:c>
      <x:c r="B10" s="16" t="str">
        <x:v>template_derivative_dtw_cost</x:v>
      </x:c>
      <x:c r="C10" s="16" t="str">
        <x:v>D-DTW</x:v>
      </x:c>
      <x:c r="D10" s="16" t="str">
        <x:v>B2</x:v>
      </x:c>
      <x:c r="E10" s="16" t="str">
        <x:v>Patient morphology, template morphology, and P-QRS-T morphology</x:v>
      </x:c>
      <x:c r="F10" s="16" t="str">
        <x:v>Template</x:v>
      </x:c>
      <x:c r="G10" s="16" t="str">
        <x:v>cost</x:v>
      </x:c>
      <x:c r="H10" s="16" t="str">
        <x:v>core_measurement</x:v>
      </x:c>
      <x:c r="I10" s="16" t="str">
        <x:v>Derivative-DTW cost with a constrained warping band</x:v>
      </x:c>
      <x:c r="J10" s="16" t="str">
        <x:v>True</x:v>
      </x:c>
      <x:c r="K10" s="32" t="str">
        <x:v> </x:v>
      </x:c>
    </x:row>
    <x:row r="11" ht="24" hidden="0" customHeight="1">
      <x:c r="A11" s="29" t="str">
        <x:v>10</x:v>
      </x:c>
      <x:c r="B11" s="16" t="str">
        <x:v>template_dtw_warp_fraction</x:v>
      </x:c>
      <x:c r="C11" s="16" t="str">
        <x:v>Warp</x:v>
      </x:c>
      <x:c r="D11" s="16" t="str">
        <x:v>B2</x:v>
      </x:c>
      <x:c r="E11" s="16" t="str">
        <x:v>Patient morphology, template morphology, and P-QRS-T morphology</x:v>
      </x:c>
      <x:c r="F11" s="16" t="str">
        <x:v>Template</x:v>
      </x:c>
      <x:c r="G11" s="16" t="str">
        <x:v>fraction</x:v>
      </x:c>
      <x:c r="H11" s="16" t="str">
        <x:v>core_measurement</x:v>
      </x:c>
      <x:c r="I11" s="16" t="str">
        <x:v>Fraction of the DTW path away from the diagonal</x:v>
      </x:c>
      <x:c r="J11" s="16" t="str">
        <x:v>True</x:v>
      </x:c>
      <x:c r="K11" s="32" t="str">
        <x:v> </x:v>
      </x:c>
    </x:row>
    <x:row r="12" ht="24" hidden="0" customHeight="1">
      <x:c r="A12" s="29" t="str">
        <x:v>11</x:v>
      </x:c>
      <x:c r="B12" s="16" t="str">
        <x:v>pqrst_qrs_duration_ms</x:v>
      </x:c>
      <x:c r="C12" s="16" t="str">
        <x:v>QRS</x:v>
      </x:c>
      <x:c r="D12" s="16" t="str">
        <x:v>B2</x:v>
      </x:c>
      <x:c r="E12" s="16" t="str">
        <x:v>Patient morphology, template morphology, and P-QRS-T morphology</x:v>
      </x:c>
      <x:c r="F12" s="16" t="str">
        <x:v>P–QRS–T</x:v>
      </x:c>
      <x:c r="G12" s="16" t="str">
        <x:v>ms</x:v>
      </x:c>
      <x:c r="H12" s="16" t="str">
        <x:v>core_measurement</x:v>
      </x:c>
      <x:c r="I12" s="16" t="str">
        <x:v>Automatically delineated QRS onset-to-offset duration</x:v>
      </x:c>
      <x:c r="J12" s="16" t="str">
        <x:v>True</x:v>
      </x:c>
      <x:c r="K12" s="32" t="str">
        <x:v> </x:v>
      </x:c>
    </x:row>
    <x:row r="13" ht="24" hidden="0" customHeight="1">
      <x:c r="A13" s="29" t="str">
        <x:v>12</x:v>
      </x:c>
      <x:c r="B13" s="16" t="str">
        <x:v>pqrst_pr_interval_ms</x:v>
      </x:c>
      <x:c r="C13" s="16" t="str">
        <x:v>PR</x:v>
      </x:c>
      <x:c r="D13" s="16" t="str">
        <x:v>B2</x:v>
      </x:c>
      <x:c r="E13" s="16" t="str">
        <x:v>Patient morphology, template morphology, and P-QRS-T morphology</x:v>
      </x:c>
      <x:c r="F13" s="16" t="str">
        <x:v>P–QRS–T</x:v>
      </x:c>
      <x:c r="G13" s="16" t="str">
        <x:v>ms</x:v>
      </x:c>
      <x:c r="H13" s="16" t="str">
        <x:v>core_measurement</x:v>
      </x:c>
      <x:c r="I13" s="16" t="str">
        <x:v>Automatically delineated P-onset to QRS-onset interval</x:v>
      </x:c>
      <x:c r="J13" s="16" t="str">
        <x:v>True</x:v>
      </x:c>
      <x:c r="K13" s="32" t="str">
        <x:v> </x:v>
      </x:c>
    </x:row>
    <x:row r="14" ht="24" hidden="0" customHeight="1">
      <x:c r="A14" s="29" t="str">
        <x:v>13</x:v>
      </x:c>
      <x:c r="B14" s="16" t="str">
        <x:v>pqrst_qt_interval_ms</x:v>
      </x:c>
      <x:c r="C14" s="16" t="str">
        <x:v>QT</x:v>
      </x:c>
      <x:c r="D14" s="16" t="str">
        <x:v>B2</x:v>
      </x:c>
      <x:c r="E14" s="16" t="str">
        <x:v>Patient morphology, template morphology, and P-QRS-T morphology</x:v>
      </x:c>
      <x:c r="F14" s="16" t="str">
        <x:v>P–QRS–T</x:v>
      </x:c>
      <x:c r="G14" s="16" t="str">
        <x:v>ms</x:v>
      </x:c>
      <x:c r="H14" s="16" t="str">
        <x:v>core_measurement</x:v>
      </x:c>
      <x:c r="I14" s="16" t="str">
        <x:v>Automatically delineated QRS-onset to T-offset interval</x:v>
      </x:c>
      <x:c r="J14" s="16" t="str">
        <x:v>True</x:v>
      </x:c>
      <x:c r="K14" s="32" t="str">
        <x:v> </x:v>
      </x:c>
    </x:row>
    <x:row r="15" ht="24" hidden="0" customHeight="1">
      <x:c r="A15" s="29" t="str">
        <x:v>14</x:v>
      </x:c>
      <x:c r="B15" s="16" t="str">
        <x:v>pqrst_qrs_peak_to_peak_amplitude</x:v>
      </x:c>
      <x:c r="C15" s="16" t="str">
        <x:v>QRS p-p</x:v>
      </x:c>
      <x:c r="D15" s="16" t="str">
        <x:v>B2</x:v>
      </x:c>
      <x:c r="E15" s="16" t="str">
        <x:v>Patient morphology, template morphology, and P-QRS-T morphology</x:v>
      </x:c>
      <x:c r="F15" s="16" t="str">
        <x:v>P–QRS–T</x:v>
      </x:c>
      <x:c r="G15" s="16" t="str">
        <x:v>amplitude</x:v>
      </x:c>
      <x:c r="H15" s="16" t="str">
        <x:v>core_measurement</x:v>
      </x:c>
      <x:c r="I15" s="16" t="str">
        <x:v>QRS peak-to-peak amplitude with preserved lead polarity</x:v>
      </x:c>
      <x:c r="J15" s="16" t="str">
        <x:v>True</x:v>
      </x:c>
      <x:c r="K15" s="32" t="str">
        <x:v> </x:v>
      </x:c>
    </x:row>
    <x:row r="16" ht="24" hidden="0" customHeight="1">
      <x:c r="A16" s="29" t="str">
        <x:v>15</x:v>
      </x:c>
      <x:c r="B16" s="16" t="str">
        <x:v>pqrst_qrs_signed_area</x:v>
      </x:c>
      <x:c r="C16" s="16" t="str">
        <x:v>QRS area</x:v>
      </x:c>
      <x:c r="D16" s="16" t="str">
        <x:v>B2</x:v>
      </x:c>
      <x:c r="E16" s="16" t="str">
        <x:v>Patient morphology, template morphology, and P-QRS-T morphology</x:v>
      </x:c>
      <x:c r="F16" s="16" t="str">
        <x:v>P–QRS–T</x:v>
      </x:c>
      <x:c r="G16" s="16" t="str">
        <x:v>amp·s</x:v>
      </x:c>
      <x:c r="H16" s="16" t="str">
        <x:v>core_measurement</x:v>
      </x:c>
      <x:c r="I16" s="16" t="str">
        <x:v>Baseline-relative signed QRS area</x:v>
      </x:c>
      <x:c r="J16" s="16" t="str">
        <x:v>True</x:v>
      </x:c>
      <x:c r="K16" s="32" t="str">
        <x:v> </x:v>
      </x:c>
    </x:row>
    <x:row r="17" ht="24" hidden="0" customHeight="1">
      <x:c r="A17" s="29" t="str">
        <x:v>16</x:v>
      </x:c>
      <x:c r="B17" s="16" t="str">
        <x:v>pqrst_landmark_availability_fraction</x:v>
      </x:c>
      <x:c r="C17" s="16" t="str">
        <x:v>Landmarks</x:v>
      </x:c>
      <x:c r="D17" s="16" t="str">
        <x:v>B2</x:v>
      </x:c>
      <x:c r="E17" s="16" t="str">
        <x:v>Patient morphology, template morphology, and P-QRS-T morphology</x:v>
      </x:c>
      <x:c r="F17" s="16" t="str">
        <x:v>P–QRS–T</x:v>
      </x:c>
      <x:c r="G17" s="16" t="str">
        <x:v>fraction</x:v>
      </x:c>
      <x:c r="H17" s="16" t="str">
        <x:v>core_measurement</x:v>
      </x:c>
      <x:c r="I17" s="16" t="str">
        <x:v>Available automatic P/QRS/T landmarks for the beat</x:v>
      </x:c>
      <x:c r="J17" s="16" t="str">
        <x:v>True</x:v>
      </x:c>
      <x:c r="K17" s="32" t="str">
        <x:v> </x:v>
      </x:c>
    </x:row>
    <x:row r="18" ht="15" hidden="0" customHeight="1">
      <x:c r="A18" s="29" t="str">
        <x:v>17</x:v>
      </x:c>
      <x:c r="B18" s="16" t="str">
        <x:v>hrv_rr_ms</x:v>
      </x:c>
      <x:c r="C18" s="16" t="str">
        <x:v>RR</x:v>
      </x:c>
      <x:c r="D18" s="16" t="str">
        <x:v>B1</x:v>
      </x:c>
      <x:c r="E18" s="16" t="str">
        <x:v>Peak detection, RR, HRV, and PRSA/BPRSA context</x:v>
      </x:c>
      <x:c r="F18" s="16" t="str">
        <x:v>HRV</x:v>
      </x:c>
      <x:c r="G18" s="16" t="str">
        <x:v>ms</x:v>
      </x:c>
      <x:c r="H18" s="16" t="str">
        <x:v>core_measurement</x:v>
      </x:c>
      <x:c r="I18" s="16" t="str">
        <x:v>Time between the latest two R peaks</x:v>
      </x:c>
      <x:c r="J18" s="16" t="str">
        <x:v>True</x:v>
      </x:c>
      <x:c r="K18" s="32" t="str">
        <x:v> </x:v>
      </x:c>
    </x:row>
    <x:row r="19" ht="15" hidden="0" customHeight="1">
      <x:c r="A19" s="29" t="str">
        <x:v>18</x:v>
      </x:c>
      <x:c r="B19" s="16" t="str">
        <x:v>hrv_heart_rate_bpm</x:v>
      </x:c>
      <x:c r="C19" s="16" t="str">
        <x:v>HR</x:v>
      </x:c>
      <x:c r="D19" s="16" t="str">
        <x:v>B1</x:v>
      </x:c>
      <x:c r="E19" s="16" t="str">
        <x:v>Peak detection, RR, HRV, and PRSA/BPRSA context</x:v>
      </x:c>
      <x:c r="F19" s="16" t="str">
        <x:v>HRV</x:v>
      </x:c>
      <x:c r="G19" s="16" t="str">
        <x:v>bpm</x:v>
      </x:c>
      <x:c r="H19" s="16" t="str">
        <x:v>core_measurement</x:v>
      </x:c>
      <x:c r="I19" s="16" t="str">
        <x:v>Instantaneous heart rate</x:v>
      </x:c>
      <x:c r="J19" s="16" t="str">
        <x:v>True</x:v>
      </x:c>
      <x:c r="K19" s="32" t="str">
        <x:v> </x:v>
      </x:c>
    </x:row>
    <x:row r="20" ht="15" hidden="0" customHeight="1">
      <x:c r="A20" s="29" t="str">
        <x:v>19</x:v>
      </x:c>
      <x:c r="B20" s="16" t="str">
        <x:v>hrv_sd1_raw_ms</x:v>
      </x:c>
      <x:c r="C20" s="16" t="str">
        <x:v>SD1</x:v>
      </x:c>
      <x:c r="D20" s="16" t="str">
        <x:v>B1</x:v>
      </x:c>
      <x:c r="E20" s="16" t="str">
        <x:v>Peak detection, RR, HRV, and PRSA/BPRSA context</x:v>
      </x:c>
      <x:c r="F20" s="16" t="str">
        <x:v>HRV</x:v>
      </x:c>
      <x:c r="G20" s="16" t="str">
        <x:v>ms</x:v>
      </x:c>
      <x:c r="H20" s="16" t="str">
        <x:v>core_measurement</x:v>
      </x:c>
      <x:c r="I20" s="16" t="str">
        <x:v>Short-term beat-to-beat variation</x:v>
      </x:c>
      <x:c r="J20" s="16" t="str">
        <x:v>True</x:v>
      </x:c>
      <x:c r="K20" s="32" t="str">
        <x:v> </x:v>
      </x:c>
    </x:row>
    <x:row r="21" ht="15" hidden="0" customHeight="1">
      <x:c r="A21" s="29" t="str">
        <x:v>20</x:v>
      </x:c>
      <x:c r="B21" s="16" t="str">
        <x:v>hrv_sd2_raw_ms</x:v>
      </x:c>
      <x:c r="C21" s="16" t="str">
        <x:v>SD2</x:v>
      </x:c>
      <x:c r="D21" s="16" t="str">
        <x:v>B1</x:v>
      </x:c>
      <x:c r="E21" s="16" t="str">
        <x:v>Peak detection, RR, HRV, and PRSA/BPRSA context</x:v>
      </x:c>
      <x:c r="F21" s="16" t="str">
        <x:v>HRV</x:v>
      </x:c>
      <x:c r="G21" s="16" t="str">
        <x:v>ms</x:v>
      </x:c>
      <x:c r="H21" s="16" t="str">
        <x:v>core_measurement</x:v>
      </x:c>
      <x:c r="I21" s="16" t="str">
        <x:v>Longer-axis Poincaré variation</x:v>
      </x:c>
      <x:c r="J21" s="16" t="str">
        <x:v>True</x:v>
      </x:c>
      <x:c r="K21" s="32" t="str">
        <x:v> </x:v>
      </x:c>
    </x:row>
    <x:row r="22" ht="15" hidden="0" customHeight="1">
      <x:c r="A22" s="29" t="str">
        <x:v>21</x:v>
      </x:c>
      <x:c r="B22" s="16" t="str">
        <x:v>hrv_csi100</x:v>
      </x:c>
      <x:c r="C22" s="16" t="str">
        <x:v>CSI</x:v>
      </x:c>
      <x:c r="D22" s="16" t="str">
        <x:v>B1</x:v>
      </x:c>
      <x:c r="E22" s="16" t="str">
        <x:v>Peak detection, RR, HRV, and PRSA/BPRSA context</x:v>
      </x:c>
      <x:c r="F22" s="16" t="str">
        <x:v>HRV</x:v>
      </x:c>
      <x:c r="G22" s="16" t="str">
        <x:v>ratio</x:v>
      </x:c>
      <x:c r="H22" s="16" t="str">
        <x:v>core_measurement</x:v>
      </x:c>
      <x:c r="I22" s="16" t="str">
        <x:v>SD2-to-SD1 ratio over 100 RR intervals</x:v>
      </x:c>
      <x:c r="J22" s="16" t="str">
        <x:v>True</x:v>
      </x:c>
      <x:c r="K22" s="32" t="str">
        <x:v> </x:v>
      </x:c>
    </x:row>
    <x:row r="23" ht="15" hidden="0" customHeight="1">
      <x:c r="A23" s="29" t="str">
        <x:v>22</x:v>
      </x:c>
      <x:c r="B23" s="16" t="str">
        <x:v>hrv_modcsi100_filtered_ms</x:v>
      </x:c>
      <x:c r="C23" s="16" t="str">
        <x:v>ModCSI</x:v>
      </x:c>
      <x:c r="D23" s="16" t="str">
        <x:v>B1</x:v>
      </x:c>
      <x:c r="E23" s="16" t="str">
        <x:v>Peak detection, RR, HRV, and PRSA/BPRSA context</x:v>
      </x:c>
      <x:c r="F23" s="16" t="str">
        <x:v>HRV</x:v>
      </x:c>
      <x:c r="G23" s="16" t="str">
        <x:v>ms</x:v>
      </x:c>
      <x:c r="H23" s="16" t="str">
        <x:v>core_measurement</x:v>
      </x:c>
      <x:c r="I23" s="16" t="str">
        <x:v>Filtered modified CSI</x:v>
      </x:c>
      <x:c r="J23" s="16" t="str">
        <x:v>True</x:v>
      </x:c>
      <x:c r="K23" s="32" t="str">
        <x:v> </x:v>
      </x:c>
    </x:row>
    <x:row r="24" ht="15" hidden="0" customHeight="1">
      <x:c r="A24" s="29" t="str">
        <x:v>23</x:v>
      </x:c>
      <x:c r="B24" s="16" t="str">
        <x:v>hrv_slope100_bpm_per_s</x:v>
      </x:c>
      <x:c r="C24" s="16" t="str">
        <x:v>Slope</x:v>
      </x:c>
      <x:c r="D24" s="16" t="str">
        <x:v>B1</x:v>
      </x:c>
      <x:c r="E24" s="16" t="str">
        <x:v>Peak detection, RR, HRV, and PRSA/BPRSA context</x:v>
      </x:c>
      <x:c r="F24" s="16" t="str">
        <x:v>HRV</x:v>
      </x:c>
      <x:c r="G24" s="16" t="str">
        <x:v>bpm/s</x:v>
      </x:c>
      <x:c r="H24" s="16" t="str">
        <x:v>core_measurement</x:v>
      </x:c>
      <x:c r="I24" s="16" t="str">
        <x:v>Absolute heart-rate trend</x:v>
      </x:c>
      <x:c r="J24" s="16" t="str">
        <x:v>True</x:v>
      </x:c>
      <x:c r="K24" s="32" t="str">
        <x:v> </x:v>
      </x:c>
    </x:row>
    <x:row r="25" ht="15" hidden="0" customHeight="1">
      <x:c r="A25" s="29" t="str">
        <x:v>24</x:v>
      </x:c>
      <x:c r="B25" s="16" t="str">
        <x:v>hrv_j1_csi_x_slope</x:v>
      </x:c>
      <x:c r="C25" s="16" t="str">
        <x:v>J1</x:v>
      </x:c>
      <x:c r="D25" s="16" t="str">
        <x:v>B1</x:v>
      </x:c>
      <x:c r="E25" s="16" t="str">
        <x:v>Peak detection, RR, HRV, and PRSA/BPRSA context</x:v>
      </x:c>
      <x:c r="F25" s="16" t="str">
        <x:v>HRV</x:v>
      </x:c>
      <x:c r="G25" s="16" t="str">
        <x:v>index</x:v>
      </x:c>
      <x:c r="H25" s="16" t="str">
        <x:v>core_measurement</x:v>
      </x:c>
      <x:c r="I25" s="16" t="str">
        <x:v>CSI multiplied by heart-rate slope</x:v>
      </x:c>
      <x:c r="J25" s="16" t="str">
        <x:v>True</x:v>
      </x:c>
      <x:c r="K25" s="32" t="str">
        <x:v> </x:v>
      </x:c>
    </x:row>
    <x:row r="26" ht="15" hidden="0" customHeight="1">
      <x:c r="A26" s="29" t="str">
        <x:v>25</x:v>
      </x:c>
      <x:c r="B26" s="16" t="str">
        <x:v>hrv_j2_modcsi_filtered_x_slope</x:v>
      </x:c>
      <x:c r="C26" s="16" t="str">
        <x:v>J2</x:v>
      </x:c>
      <x:c r="D26" s="16" t="str">
        <x:v>B1</x:v>
      </x:c>
      <x:c r="E26" s="16" t="str">
        <x:v>Peak detection, RR, HRV, and PRSA/BPRSA context</x:v>
      </x:c>
      <x:c r="F26" s="16" t="str">
        <x:v>HRV</x:v>
      </x:c>
      <x:c r="G26" s="16" t="str">
        <x:v>index</x:v>
      </x:c>
      <x:c r="H26" s="16" t="str">
        <x:v>core_measurement</x:v>
      </x:c>
      <x:c r="I26" s="16" t="str">
        <x:v>Modified CSI multiplied by slope</x:v>
      </x:c>
      <x:c r="J26" s="16" t="str">
        <x:v>True</x:v>
      </x:c>
      <x:c r="K26" s="32" t="str">
        <x:v> </x:v>
      </x:c>
    </x:row>
    <x:row r="27" ht="15" hidden="0" customHeight="1">
      <x:c r="A27" s="29" t="str">
        <x:v>26</x:v>
      </x:c>
      <x:c r="B27" s="16" t="str">
        <x:v>prsa_mean_rr80_ms</x:v>
      </x:c>
      <x:c r="C27" s="16" t="str">
        <x:v>Mean RR80</x:v>
      </x:c>
      <x:c r="D27" s="16" t="str">
        <x:v>B1</x:v>
      </x:c>
      <x:c r="E27" s="16" t="str">
        <x:v>Peak detection, RR, HRV, and PRSA/BPRSA context</x:v>
      </x:c>
      <x:c r="F27" s="16" t="str">
        <x:v>PRSA/BPRSA</x:v>
      </x:c>
      <x:c r="G27" s="16" t="str">
        <x:v>ms</x:v>
      </x:c>
      <x:c r="H27" s="16" t="str">
        <x:v>context</x:v>
      </x:c>
      <x:c r="I27" s="16" t="str">
        <x:v>Mean of the latest 80 RR intervals using the paper's population convention</x:v>
      </x:c>
      <x:c r="J27" s="16" t="str">
        <x:v>True</x:v>
      </x:c>
      <x:c r="K27" s="32" t="str">
        <x:v> </x:v>
      </x:c>
    </x:row>
    <x:row r="28" ht="15" hidden="0" customHeight="1">
      <x:c r="A28" s="29" t="str">
        <x:v>27</x:v>
      </x:c>
      <x:c r="B28" s="16" t="str">
        <x:v>prsa_sdnn80_ms</x:v>
      </x:c>
      <x:c r="C28" s="16" t="str">
        <x:v>SDNN80</x:v>
      </x:c>
      <x:c r="D28" s="16" t="str">
        <x:v>B1</x:v>
      </x:c>
      <x:c r="E28" s="16" t="str">
        <x:v>Peak detection, RR, HRV, and PRSA/BPRSA context</x:v>
      </x:c>
      <x:c r="F28" s="16" t="str">
        <x:v>PRSA/BPRSA</x:v>
      </x:c>
      <x:c r="G28" s="16" t="str">
        <x:v>ms</x:v>
      </x:c>
      <x:c r="H28" s="16" t="str">
        <x:v>context</x:v>
      </x:c>
      <x:c r="I28" s="16" t="str">
        <x:v>Population standard deviation of the latest 80 RR intervals</x:v>
      </x:c>
      <x:c r="J28" s="16" t="str">
        <x:v>True</x:v>
      </x:c>
      <x:c r="K28" s="32" t="str">
        <x:v> </x:v>
      </x:c>
    </x:row>
    <x:row r="29" ht="15" hidden="0" customHeight="1">
      <x:c r="A29" s="29" t="str">
        <x:v>28</x:v>
      </x:c>
      <x:c r="B29" s="16" t="str">
        <x:v>prsa_s_rr_ms_per_sample</x:v>
      </x:c>
      <x:c r="C29" s="16" t="str">
        <x:v>S-RR</x:v>
      </x:c>
      <x:c r="D29" s="16" t="str">
        <x:v>B1</x:v>
      </x:c>
      <x:c r="E29" s="16" t="str">
        <x:v>Peak detection, RR, HRV, and PRSA/BPRSA context</x:v>
      </x:c>
      <x:c r="F29" s="16" t="str">
        <x:v>PRSA/BPRSA</x:v>
      </x:c>
      <x:c r="G29" s="16" t="str">
        <x:v>ms/sample</x:v>
      </x:c>
      <x:c r="H29" s="16" t="str">
        <x:v>context</x:v>
      </x:c>
      <x:c r="I29" s="16" t="str">
        <x:v>Local PRSA slope across the samples immediately before and after the acceleration anchor</x:v>
      </x:c>
      <x:c r="J29" s="16" t="str">
        <x:v>True</x:v>
      </x:c>
      <x:c r="K29" s="32" t="str">
        <x:v> </x:v>
      </x:c>
    </x:row>
    <x:row r="30" ht="15" hidden="0" customHeight="1">
      <x:c r="A30" s="29" t="str">
        <x:v>29</x:v>
      </x:c>
      <x:c r="B30" s="16" t="str">
        <x:v>prsa_delta_rr_ms_per_sample</x:v>
      </x:c>
      <x:c r="C30" s="16" t="str">
        <x:v>Δ-RR</x:v>
      </x:c>
      <x:c r="D30" s="16" t="str">
        <x:v>B1</x:v>
      </x:c>
      <x:c r="E30" s="16" t="str">
        <x:v>Peak detection, RR, HRV, and PRSA/BPRSA context</x:v>
      </x:c>
      <x:c r="F30" s="16" t="str">
        <x:v>PRSA/BPRSA</x:v>
      </x:c>
      <x:c r="G30" s="16" t="str">
        <x:v>ms/sample</x:v>
      </x:c>
      <x:c r="H30" s="16" t="str">
        <x:v>context</x:v>
      </x:c>
      <x:c r="I30" s="16" t="str">
        <x:v>Long-range PRSA slope across the full ±5-second curve</x:v>
      </x:c>
      <x:c r="J30" s="16" t="str">
        <x:v>True</x:v>
      </x:c>
      <x:c r="K30" s="32" t="str">
        <x:v> </x:v>
      </x:c>
    </x:row>
    <x:row r="31" ht="15" hidden="0" customHeight="1">
      <x:c r="A31" s="29" t="str">
        <x:v>30</x:v>
      </x:c>
      <x:c r="B31" s="16" t="str">
        <x:v>bprsa_s_r_ms_per_sample</x:v>
      </x:c>
      <x:c r="C31" s="16" t="str">
        <x:v>S-R</x:v>
      </x:c>
      <x:c r="D31" s="16" t="str">
        <x:v>B1</x:v>
      </x:c>
      <x:c r="E31" s="16" t="str">
        <x:v>Peak detection, RR, HRV, and PRSA/BPRSA context</x:v>
      </x:c>
      <x:c r="F31" s="16" t="str">
        <x:v>PRSA/BPRSA</x:v>
      </x:c>
      <x:c r="G31" s="16" t="str">
        <x:v>ms/sample</x:v>
      </x:c>
      <x:c r="H31" s="16" t="str">
        <x:v>context</x:v>
      </x:c>
      <x:c r="I31" s="16" t="str">
        <x:v>Local RR response when R-peak amplitude is the BPRSA driver</x:v>
      </x:c>
      <x:c r="J31" s="16" t="str">
        <x:v>True</x:v>
      </x:c>
      <x:c r="K31" s="32" t="str">
        <x:v> </x:v>
      </x:c>
    </x:row>
    <x:row r="32" ht="15" hidden="0" customHeight="1">
      <x:c r="A32" s="29" t="str">
        <x:v>31</x:v>
      </x:c>
      <x:c r="B32" s="16" t="str">
        <x:v>bprsa_delta_r_ms_per_sample</x:v>
      </x:c>
      <x:c r="C32" s="16" t="str">
        <x:v>Δ-R</x:v>
      </x:c>
      <x:c r="D32" s="16" t="str">
        <x:v>B1</x:v>
      </x:c>
      <x:c r="E32" s="16" t="str">
        <x:v>Peak detection, RR, HRV, and PRSA/BPRSA context</x:v>
      </x:c>
      <x:c r="F32" s="16" t="str">
        <x:v>PRSA/BPRSA</x:v>
      </x:c>
      <x:c r="G32" s="16" t="str">
        <x:v>ms/sample</x:v>
      </x:c>
      <x:c r="H32" s="16" t="str">
        <x:v>context</x:v>
      </x:c>
      <x:c r="I32" s="16" t="str">
        <x:v>Long-range RR response across the R-amplitude-triggered BPRSA curve</x:v>
      </x:c>
      <x:c r="J32" s="16" t="str">
        <x:v>True</x:v>
      </x:c>
      <x:c r="K32" s="32" t="str">
        <x:v> </x:v>
      </x:c>
    </x:row>
    <x:row r="33" ht="15" hidden="0" customHeight="1">
      <x:c r="A33" s="29" t="str">
        <x:v>32</x:v>
      </x:c>
      <x:c r="B33" s="16" t="str">
        <x:v>quality_finite_fraction</x:v>
      </x:c>
      <x:c r="C33" s="16" t="str">
        <x:v>Finite</x:v>
      </x:c>
      <x:c r="D33" s="16" t="str">
        <x:v>B4</x:v>
      </x:c>
      <x:c r="E33" s="16" t="str">
        <x:v>Signal-quality context</x:v>
      </x:c>
      <x:c r="F33" s="16" t="str">
        <x:v>Signal quality</x:v>
      </x:c>
      <x:c r="G33" s="16" t="str">
        <x:v>fraction</x:v>
      </x:c>
      <x:c r="H33" s="16" t="str">
        <x:v>quality_context</x:v>
      </x:c>
      <x:c r="I33" s="16" t="str">
        <x:v>Fraction of samples that are finite in the causal trailing 10-second window</x:v>
      </x:c>
      <x:c r="J33" s="16" t="str">
        <x:v>True</x:v>
      </x:c>
      <x:c r="K33" s="32" t="str">
        <x:v> </x:v>
      </x:c>
    </x:row>
    <x:row r="34" ht="15" hidden="0" customHeight="1">
      <x:c r="A34" s="29" t="str">
        <x:v>33</x:v>
      </x:c>
      <x:c r="B34" s="16" t="str">
        <x:v>quality_flat_fraction</x:v>
      </x:c>
      <x:c r="C34" s="16" t="str">
        <x:v>Flat</x:v>
      </x:c>
      <x:c r="D34" s="16" t="str">
        <x:v>B4</x:v>
      </x:c>
      <x:c r="E34" s="16" t="str">
        <x:v>Signal-quality context</x:v>
      </x:c>
      <x:c r="F34" s="16" t="str">
        <x:v>Signal quality</x:v>
      </x:c>
      <x:c r="G34" s="16" t="str">
        <x:v>fraction</x:v>
      </x:c>
      <x:c r="H34" s="16" t="str">
        <x:v>quality_context</x:v>
      </x:c>
      <x:c r="I34" s="16" t="str">
        <x:v>Fraction of adjacent samples inside an exactly flat run; a measurement, not an artifact label</x:v>
      </x:c>
      <x:c r="J34" s="16" t="str">
        <x:v>True</x:v>
      </x:c>
      <x:c r="K34" s="32" t="str">
        <x:v> </x:v>
      </x:c>
    </x:row>
    <x:row r="35" ht="15" hidden="0" customHeight="1">
      <x:c r="A35" s="29" t="str">
        <x:v>34</x:v>
      </x:c>
      <x:c r="B35" s="16" t="str">
        <x:v>quality_bassqi</x:v>
      </x:c>
      <x:c r="C35" s="16" t="str">
        <x:v>basSQI</x:v>
      </x:c>
      <x:c r="D35" s="16" t="str">
        <x:v>B4</x:v>
      </x:c>
      <x:c r="E35" s="16" t="str">
        <x:v>Signal-quality context</x:v>
      </x:c>
      <x:c r="F35" s="16" t="str">
        <x:v>Signal quality</x:v>
      </x:c>
      <x:c r="G35" s="16" t="str">
        <x:v>ratio</x:v>
      </x:c>
      <x:c r="H35" s="16" t="str">
        <x:v>quality_context</x:v>
      </x:c>
      <x:c r="I35" s="16" t="str">
        <x:v>Clifford baseline-band power ratio for the trailing signal window</x:v>
      </x:c>
      <x:c r="J35" s="16" t="str">
        <x:v>True</x:v>
      </x:c>
      <x:c r="K35" s="32" t="str">
        <x:v> </x:v>
      </x:c>
    </x:row>
    <x:row r="36" ht="15" hidden="0" customHeight="1">
      <x:c r="A36" s="29" t="str">
        <x:v>35</x:v>
      </x:c>
      <x:c r="B36" s="16" t="str">
        <x:v>quality_psqi</x:v>
      </x:c>
      <x:c r="C36" s="16" t="str">
        <x:v>pSQI</x:v>
      </x:c>
      <x:c r="D36" s="16" t="str">
        <x:v>B4</x:v>
      </x:c>
      <x:c r="E36" s="16" t="str">
        <x:v>Signal-quality context</x:v>
      </x:c>
      <x:c r="F36" s="16" t="str">
        <x:v>Signal quality</x:v>
      </x:c>
      <x:c r="G36" s="16" t="str">
        <x:v>ratio</x:v>
      </x:c>
      <x:c r="H36" s="16" t="str">
        <x:v>quality_context</x:v>
      </x:c>
      <x:c r="I36" s="16" t="str">
        <x:v>Clifford QRS-band power ratio for the trailing signal window</x:v>
      </x:c>
      <x:c r="J36" s="16" t="str">
        <x:v>True</x:v>
      </x:c>
      <x:c r="K36" s="32" t="str">
        <x:v> </x:v>
      </x:c>
    </x:row>
    <x:row r="37" ht="15" hidden="0" customHeight="1">
      <x:c r="A37" s="29" t="str">
        <x:v>36</x:v>
      </x:c>
      <x:c r="B37" s="16" t="str">
        <x:v>quality_bsqi</x:v>
      </x:c>
      <x:c r="C37" s="16" t="str">
        <x:v>bSQI</x:v>
      </x:c>
      <x:c r="D37" s="16" t="str">
        <x:v>B4</x:v>
      </x:c>
      <x:c r="E37" s="16" t="str">
        <x:v>Signal-quality context</x:v>
      </x:c>
      <x:c r="F37" s="16" t="str">
        <x:v>Signal quality</x:v>
      </x:c>
      <x:c r="G37" s="16" t="str">
        <x:v>Jaccard</x:v>
      </x:c>
      <x:c r="H37" s="16" t="str">
        <x:v>quality_context</x:v>
      </x:c>
      <x:c r="I37" s="16" t="str">
        <x:v>Li-style agreement between the two independent R-peak detectors at 150 ms</x:v>
      </x:c>
      <x:c r="J37" s="16" t="str">
        <x:v>True</x:v>
      </x:c>
      <x:c r="K37" s="32" t="str">
        <x:v> </x:v>
      </x:c>
    </x:row>
    <x:row r="38" ht="15" hidden="0" customHeight="1">
      <x:c r="A38" s="29" t="str">
        <x:v>37</x:v>
      </x:c>
      <x:c r="B38" s="16" t="str">
        <x:v>quality_qsqi</x:v>
      </x:c>
      <x:c r="C38" s="16" t="str">
        <x:v>qSQI</x:v>
      </x:c>
      <x:c r="D38" s="16" t="str">
        <x:v>B4</x:v>
      </x:c>
      <x:c r="E38" s="16" t="str">
        <x:v>Signal-quality context</x:v>
      </x:c>
      <x:c r="F38" s="16" t="str">
        <x:v>Signal quality</x:v>
      </x:c>
      <x:c r="G38" s="16" t="str">
        <x:v>Dice</x:v>
      </x:c>
      <x:c r="H38" s="16" t="str">
        <x:v>quality_context</x:v>
      </x:c>
      <x:c r="I38" s="16" t="str">
        <x:v>Zhao-style detector agreement at 75 ms</x:v>
      </x:c>
      <x:c r="J38" s="16" t="str">
        <x:v>True</x:v>
      </x:c>
      <x:c r="K38" s="32" t="str">
        <x:v> </x:v>
      </x:c>
    </x:row>
    <x:row r="39" ht="15" hidden="0" customHeight="1">
      <x:c r="A39" s="29" t="str">
        <x:v>38</x:v>
      </x:c>
      <x:c r="B39" s="16" t="str">
        <x:v>quality_rr_support</x:v>
      </x:c>
      <x:c r="C39" s="16" t="str">
        <x:v>RR support</x:v>
      </x:c>
      <x:c r="D39" s="16" t="str">
        <x:v>B4</x:v>
      </x:c>
      <x:c r="E39" s="16" t="str">
        <x:v>Signal-quality context</x:v>
      </x:c>
      <x:c r="F39" s="16" t="str">
        <x:v>Signal quality</x:v>
      </x:c>
      <x:c r="G39" s="16" t="str">
        <x:v>fraction</x:v>
      </x:c>
      <x:c r="H39" s="16" t="str">
        <x:v>quality_context</x:v>
      </x:c>
      <x:c r="I39" s="16" t="str">
        <x:v>Ho-style fraction of primary RR intervals supported by the comparison detector</x:v>
      </x:c>
      <x:c r="J39" s="16" t="str">
        <x:v>True</x:v>
      </x:c>
      <x:c r="K39" s="32" t="str">
        <x:v> </x:v>
      </x:c>
    </x:row>
    <x:row r="40" ht="15" hidden="0" customHeight="1">
      <x:c r="A40" s="29" t="str">
        <x:v>39</x:v>
      </x:c>
      <x:c r="B40" s="16" t="str">
        <x:v>quality_template_corr</x:v>
      </x:c>
      <x:c r="C40" s="16" t="str">
        <x:v>Beat corr</x:v>
      </x:c>
      <x:c r="D40" s="16" t="str">
        <x:v>B4</x:v>
      </x:c>
      <x:c r="E40" s="16" t="str">
        <x:v>Signal-quality context</x:v>
      </x:c>
      <x:c r="F40" s="16" t="str">
        <x:v>Signal quality</x:v>
      </x:c>
      <x:c r="G40" s="16" t="str">
        <x:v>r</x:v>
      </x:c>
      <x:c r="H40" s="16" t="str">
        <x:v>quality_context</x:v>
      </x:c>
      <x:c r="I40" s="16" t="str">
        <x:v>Orphanidou-style within-window beat-template correlation</x:v>
      </x:c>
      <x:c r="J40" s="16" t="str">
        <x:v>True</x:v>
      </x:c>
      <x:c r="K40" s="32" t="str">
        <x:v> </x:v>
      </x:c>
    </x:row>
    <x:row r="41" ht="15" hidden="0" customHeight="1">
      <x:c r="A41" s="29" t="str">
        <x:v>40</x:v>
      </x:c>
      <x:c r="B41" s="16" t="str">
        <x:v>conduction_jt_interval_ms</x:v>
      </x:c>
      <x:c r="C41" s="16" t="str">
        <x:v>JT</x:v>
      </x:c>
      <x:c r="D41" s="16" t="str">
        <x:v>B3</x:v>
      </x:c>
      <x:c r="E41" s="16" t="str">
        <x:v>Conduction and repolarization information</x:v>
      </x:c>
      <x:c r="F41" s="16" t="str">
        <x:v>Conduction</x:v>
      </x:c>
      <x:c r="G41" s="16" t="str">
        <x:v>ms</x:v>
      </x:c>
      <x:c r="H41" s="16" t="str">
        <x:v>information_only</x:v>
      </x:c>
      <x:c r="I41" s="16" t="str">
        <x:v>Automatically delineated QRS-offset to T-offset interval</x:v>
      </x:c>
      <x:c r="J41" s="16" t="str">
        <x:v>True</x:v>
      </x:c>
      <x:c r="K41" s="32" t="str">
        <x:v> </x:v>
      </x:c>
    </x:row>
    <x:row r="42" ht="15" hidden="0" customHeight="1">
      <x:c r="A42" s="29" t="str">
        <x:v>41</x:v>
      </x:c>
      <x:c r="B42" s="16" t="str">
        <x:v>conduction_t_peak_to_end_ms</x:v>
      </x:c>
      <x:c r="C42" s="16" t="str">
        <x:v>Tpeak-end</x:v>
      </x:c>
      <x:c r="D42" s="16" t="str">
        <x:v>B3</x:v>
      </x:c>
      <x:c r="E42" s="16" t="str">
        <x:v>Conduction and repolarization information</x:v>
      </x:c>
      <x:c r="F42" s="16" t="str">
        <x:v>Conduction</x:v>
      </x:c>
      <x:c r="G42" s="16" t="str">
        <x:v>ms</x:v>
      </x:c>
      <x:c r="H42" s="16" t="str">
        <x:v>information_only</x:v>
      </x:c>
      <x:c r="I42" s="16" t="str">
        <x:v>Automatically delineated T-peak to T-offset interval</x:v>
      </x:c>
      <x:c r="J42" s="16" t="str">
        <x:v>True</x:v>
      </x:c>
      <x:c r="K42" s="32" t="str">
        <x:v> </x:v>
      </x:c>
    </x:row>
    <x:row r="43" ht="15" hidden="0" customHeight="1">
      <x:c r="A43" s="29" t="str">
        <x:v>42</x:v>
      </x:c>
      <x:c r="B43" s="16" t="str">
        <x:v>conduction_qtc_bazett_ms</x:v>
      </x:c>
      <x:c r="C43" s="16" t="str">
        <x:v>QTc B</x:v>
      </x:c>
      <x:c r="D43" s="16" t="str">
        <x:v>B3</x:v>
      </x:c>
      <x:c r="E43" s="16" t="str">
        <x:v>Conduction and repolarization information</x:v>
      </x:c>
      <x:c r="F43" s="16" t="str">
        <x:v>Conduction</x:v>
      </x:c>
      <x:c r="G43" s="16" t="str">
        <x:v>ms</x:v>
      </x:c>
      <x:c r="H43" s="16" t="str">
        <x:v>information_only</x:v>
      </x:c>
      <x:c r="I43" s="16" t="str">
        <x:v>Beatwise Bazett-corrected QT paired with the preceding RR interval</x:v>
      </x:c>
      <x:c r="J43" s="16" t="str">
        <x:v>True</x:v>
      </x:c>
      <x:c r="K43" s="32" t="str">
        <x:v> </x:v>
      </x:c>
    </x:row>
    <x:row r="44" ht="15" hidden="0" customHeight="1">
      <x:c r="A44" s="29" t="str">
        <x:v>43</x:v>
      </x:c>
      <x:c r="B44" s="16" t="str">
        <x:v>conduction_qtc_fridericia_ms</x:v>
      </x:c>
      <x:c r="C44" s="16" t="str">
        <x:v>QTc Fd</x:v>
      </x:c>
      <x:c r="D44" s="16" t="str">
        <x:v>B3</x:v>
      </x:c>
      <x:c r="E44" s="16" t="str">
        <x:v>Conduction and repolarization information</x:v>
      </x:c>
      <x:c r="F44" s="16" t="str">
        <x:v>Conduction</x:v>
      </x:c>
      <x:c r="G44" s="16" t="str">
        <x:v>ms</x:v>
      </x:c>
      <x:c r="H44" s="16" t="str">
        <x:v>information_only</x:v>
      </x:c>
      <x:c r="I44" s="16" t="str">
        <x:v>Beatwise Fridericia-corrected QT paired with the preceding RR interval</x:v>
      </x:c>
      <x:c r="J44" s="16" t="str">
        <x:v>True</x:v>
      </x:c>
      <x:c r="K44" s="32" t="str">
        <x:v> </x:v>
      </x:c>
    </x:row>
    <x:row r="45" ht="15" hidden="0" customHeight="1">
      <x:c r="A45" s="29" t="str">
        <x:v>44</x:v>
      </x:c>
      <x:c r="B45" s="16" t="str">
        <x:v>conduction_qtc_framingham_ms</x:v>
      </x:c>
      <x:c r="C45" s="16" t="str">
        <x:v>QTc Fh</x:v>
      </x:c>
      <x:c r="D45" s="16" t="str">
        <x:v>B3</x:v>
      </x:c>
      <x:c r="E45" s="16" t="str">
        <x:v>Conduction and repolarization information</x:v>
      </x:c>
      <x:c r="F45" s="16" t="str">
        <x:v>Conduction</x:v>
      </x:c>
      <x:c r="G45" s="16" t="str">
        <x:v>ms</x:v>
      </x:c>
      <x:c r="H45" s="16" t="str">
        <x:v>information_only</x:v>
      </x:c>
      <x:c r="I45" s="16" t="str">
        <x:v>Beatwise Framingham-corrected QT paired with the preceding RR interval</x:v>
      </x:c>
      <x:c r="J45" s="16" t="str">
        <x:v>True</x:v>
      </x:c>
      <x:c r="K45" s="32" t="str">
        <x:v> </x:v>
      </x:c>
    </x:row>
    <x:row r="46" ht="15" hidden="0" customHeight="1">
      <x:c r="A46" s="29" t="str">
        <x:v>45</x:v>
      </x:c>
      <x:c r="B46" s="16" t="str">
        <x:v>conduction_delta_pr_ms</x:v>
      </x:c>
      <x:c r="C46" s="16" t="str">
        <x:v>ΔPR</x:v>
      </x:c>
      <x:c r="D46" s="16" t="str">
        <x:v>B3</x:v>
      </x:c>
      <x:c r="E46" s="16" t="str">
        <x:v>Conduction and repolarization information</x:v>
      </x:c>
      <x:c r="F46" s="16" t="str">
        <x:v>Conduction</x:v>
      </x:c>
      <x:c r="G46" s="16" t="str">
        <x:v>ms</x:v>
      </x:c>
      <x:c r="H46" s="16" t="str">
        <x:v>information_only</x:v>
      </x:c>
      <x:c r="I46" s="16" t="str">
        <x:v>Change in automatic PR interval from the preceding beat</x:v>
      </x:c>
      <x:c r="J46" s="16" t="str">
        <x:v>True</x:v>
      </x:c>
      <x:c r="K46" s="32" t="str">
        <x:v> </x:v>
      </x:c>
    </x:row>
    <x:row r="47" ht="15" hidden="0" customHeight="1">
      <x:c r="A47" s="29" t="str">
        <x:v>46</x:v>
      </x:c>
      <x:c r="B47" s="16" t="str">
        <x:v>conduction_delta_qt_ms</x:v>
      </x:c>
      <x:c r="C47" s="16" t="str">
        <x:v>ΔQT</x:v>
      </x:c>
      <x:c r="D47" s="16" t="str">
        <x:v>B3</x:v>
      </x:c>
      <x:c r="E47" s="16" t="str">
        <x:v>Conduction and repolarization information</x:v>
      </x:c>
      <x:c r="F47" s="16" t="str">
        <x:v>Conduction</x:v>
      </x:c>
      <x:c r="G47" s="16" t="str">
        <x:v>ms</x:v>
      </x:c>
      <x:c r="H47" s="16" t="str">
        <x:v>information_only</x:v>
      </x:c>
      <x:c r="I47" s="16" t="str">
        <x:v>Change in automatic QT interval from the preceding beat</x:v>
      </x:c>
      <x:c r="J47" s="16" t="str">
        <x:v>True</x:v>
      </x:c>
      <x:c r="K47" s="32" t="str">
        <x:v> </x:v>
      </x:c>
    </x:row>
    <x:row r="48" ht="15" hidden="0" customHeight="1">
      <x:c r="A48" s="29" t="str">
        <x:v>47</x:v>
      </x:c>
      <x:c r="B48" s="16" t="str">
        <x:v>conduction_p_to_r_ms</x:v>
      </x:c>
      <x:c r="C48" s="16" t="str">
        <x:v>P→R</x:v>
      </x:c>
      <x:c r="D48" s="16" t="str">
        <x:v>B3</x:v>
      </x:c>
      <x:c r="E48" s="16" t="str">
        <x:v>Conduction and repolarization information</x:v>
      </x:c>
      <x:c r="F48" s="16" t="str">
        <x:v>Conduction</x:v>
      </x:c>
      <x:c r="G48" s="16" t="str">
        <x:v>ms</x:v>
      </x:c>
      <x:c r="H48" s="16" t="str">
        <x:v>information_only</x:v>
      </x:c>
      <x:c r="I48" s="16" t="str">
        <x:v>Diab-aligned within-beat P-peak timing relative to R</x:v>
      </x:c>
      <x:c r="J48" s="16" t="str">
        <x:v>True</x:v>
      </x:c>
      <x:c r="K48" s="32" t="str">
        <x:v> </x:v>
      </x:c>
    </x:row>
    <x:row r="49" ht="15" hidden="0" customHeight="1">
      <x:c r="A49" s="29" t="str">
        <x:v>48</x:v>
      </x:c>
      <x:c r="B49" s="16" t="str">
        <x:v>conduction_t_to_r_ms</x:v>
      </x:c>
      <x:c r="C49" s="16" t="str">
        <x:v>T→R</x:v>
      </x:c>
      <x:c r="D49" s="16" t="str">
        <x:v>B3</x:v>
      </x:c>
      <x:c r="E49" s="16" t="str">
        <x:v>Conduction and repolarization information</x:v>
      </x:c>
      <x:c r="F49" s="16" t="str">
        <x:v>Conduction</x:v>
      </x:c>
      <x:c r="G49" s="16" t="str">
        <x:v>ms</x:v>
      </x:c>
      <x:c r="H49" s="16" t="str">
        <x:v>information_only</x:v>
      </x:c>
      <x:c r="I49" s="16" t="str">
        <x:v>Diab-aligned within-beat T-peak timing relative to R</x:v>
      </x:c>
      <x:c r="J49" s="16" t="str">
        <x:v>True</x:v>
      </x:c>
      <x:c r="K49" s="32" t="str">
        <x:v> </x:v>
      </x:c>
    </x:row>
    <x:row r="50" ht="15" hidden="0" customHeight="1">
      <x:c r="A50" s="29" t="str">
        <x:v>49</x:v>
      </x:c>
      <x:c r="B50" s="16" t="str">
        <x:v>conduction_qt_median5_ms</x:v>
      </x:c>
      <x:c r="C50" s="16" t="str">
        <x:v>QT med5</x:v>
      </x:c>
      <x:c r="D50" s="16" t="str">
        <x:v>B3</x:v>
      </x:c>
      <x:c r="E50" s="16" t="str">
        <x:v>Conduction and repolarization information</x:v>
      </x:c>
      <x:c r="F50" s="16" t="str">
        <x:v>Conduction</x:v>
      </x:c>
      <x:c r="G50" s="16" t="str">
        <x:v>ms</x:v>
      </x:c>
      <x:c r="H50" s="16" t="str">
        <x:v>information_only</x:v>
      </x:c>
      <x:c r="I50" s="16" t="str">
        <x:v>Median automatic QT over the causal trailing five-beat information window</x:v>
      </x:c>
      <x:c r="J50" s="16" t="str">
        <x:v>True</x:v>
      </x:c>
      <x:c r="K50" s="32" t="str">
        <x:v> </x:v>
      </x:c>
    </x:row>
    <x:row r="51" ht="15" hidden="0" customHeight="1">
      <x:c r="A51" s="29" t="str">
        <x:v>50</x:v>
      </x:c>
      <x:c r="B51" s="16" t="str">
        <x:v>conduction_qt_range5_ms</x:v>
      </x:c>
      <x:c r="C51" s="16" t="str">
        <x:v>QT range5</x:v>
      </x:c>
      <x:c r="D51" s="16" t="str">
        <x:v>B3</x:v>
      </x:c>
      <x:c r="E51" s="16" t="str">
        <x:v>Conduction and repolarization information</x:v>
      </x:c>
      <x:c r="F51" s="16" t="str">
        <x:v>Conduction</x:v>
      </x:c>
      <x:c r="G51" s="16" t="str">
        <x:v>ms</x:v>
      </x:c>
      <x:c r="H51" s="16" t="str">
        <x:v>information_only</x:v>
      </x:c>
      <x:c r="I51" s="16" t="str">
        <x:v>Range of automatic QT in the causal trailing five-beat information window</x:v>
      </x:c>
      <x:c r="J51" s="16" t="str">
        <x:v>True</x:v>
      </x:c>
      <x:c r="K51" s="32" t="str">
        <x:v> </x:v>
      </x:c>
    </x:row>
    <x:row r="52" ht="15" hidden="0" customHeight="1">
      <x:c r="A52" s="29" t="str">
        <x:v>51</x:v>
      </x:c>
      <x:c r="B52" s="16" t="str">
        <x:v>conduction_qt_slope5_ms_per_beat</x:v>
      </x:c>
      <x:c r="C52" s="16" t="str">
        <x:v>QT slope5</x:v>
      </x:c>
      <x:c r="D52" s="16" t="str">
        <x:v>B3</x:v>
      </x:c>
      <x:c r="E52" s="16" t="str">
        <x:v>Conduction and repolarization information</x:v>
      </x:c>
      <x:c r="F52" s="16" t="str">
        <x:v>Conduction</x:v>
      </x:c>
      <x:c r="G52" s="16" t="str">
        <x:v>ms/beat</x:v>
      </x:c>
      <x:c r="H52" s="16" t="str">
        <x:v>information_only</x:v>
      </x:c>
      <x:c r="I52" s="16" t="str">
        <x:v>Theil-Sen QT slope across the causal trailing five-beat information window</x:v>
      </x:c>
      <x:c r="J52" s="16" t="str">
        <x:v>True</x:v>
      </x:c>
      <x:c r="K52" s="32" t="str">
        <x:v> </x:v>
      </x:c>
    </x:row>
    <x:row r="53" ht="15" hidden="0" customHeight="1">
      <x:c r="A53" s="29" t="str">
        <x:v>52</x:v>
      </x:c>
      <x:c r="B53" s="16" t="str">
        <x:v>conduction_qtc_fridericia_mean9_ms</x:v>
      </x:c>
      <x:c r="C53" s="16" t="str">
        <x:v>QTc Fd9</x:v>
      </x:c>
      <x:c r="D53" s="16" t="str">
        <x:v>B3</x:v>
      </x:c>
      <x:c r="E53" s="16" t="str">
        <x:v>Conduction and repolarization information</x:v>
      </x:c>
      <x:c r="F53" s="16" t="str">
        <x:v>Conduction</x:v>
      </x:c>
      <x:c r="G53" s="16" t="str">
        <x:v>ms</x:v>
      </x:c>
      <x:c r="H53" s="16" t="str">
        <x:v>information_only</x:v>
      </x:c>
      <x:c r="I53" s="16" t="str">
        <x:v>Fridericia correction after averaging QT and preceding RR over nine consecutive beats</x:v>
      </x:c>
      <x:c r="J53" s="16" t="str">
        <x:v>True</x:v>
      </x:c>
      <x:c r="K53" s="32" t="str">
        <x:v> </x:v>
      </x:c>
    </x:row>
    <x:row r="54" ht="6" customHeight="1">
      <x:c r="A54" s="34" t="str">
        <x:v> </x:v>
      </x:c>
      <x:c r="B54" s="32" t="str">
        <x:v> </x:v>
      </x:c>
      <x:c r="C54" s="32" t="str">
        <x:v> </x:v>
      </x:c>
      <x:c r="D54" s="32" t="str">
        <x:v> </x:v>
      </x:c>
      <x:c r="E54" s="32" t="str">
        <x:v> </x:v>
      </x:c>
      <x:c r="F54" s="32" t="str">
        <x:v> </x:v>
      </x:c>
      <x:c r="G54" s="32" t="str">
        <x:v> </x:v>
      </x:c>
      <x:c r="H54" s="32" t="str">
        <x:v> </x:v>
      </x:c>
      <x:c r="I54" s="32" t="str">
        <x:v> </x:v>
      </x:c>
      <x:c r="J54" s="32" t="str">
        <x:v> </x:v>
      </x:c>
      <x:c r="K54" s="32" t="str">
        <x:v> </x:v>
      </x:c>
    </x:row>
    <x:row r="55">
      <x:c r="A55" s="30"/>
    </x:row>
    <x:row r="56">
      <x:c r="A56" s="30"/>
    </x:row>
    <x:row r="57">
      <x:c r="A57" s="30"/>
    </x:row>
    <x:row r="58">
      <x:c r="A58" s="30"/>
    </x:row>
    <x:row r="59">
      <x:c r="A59" s="30"/>
    </x:row>
    <x:row r="60">
      <x:c r="A60" s="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34" hidden="0" customWidth="1"/>
    <x:col min="4" max="4" width="74" hidden="0" customWidth="1"/>
    <x:col min="5" max="5" width="2" hidden="0" customWidth="1"/>
  </x:cols>
  <x:sheetData>
    <x:row r="1" ht="15" hidden="0" customHeight="1">
      <x:c r="A1" s="28" t="str">
        <x:v>label_column</x:v>
      </x:c>
      <x:c r="B1" s="28" t="str">
        <x:v>status</x:v>
      </x:c>
      <x:c r="C1" s="28" t="str">
        <x:v>source</x:v>
      </x:c>
      <x:c r="D1" s="28" t="str">
        <x:v>definition</x:v>
      </x:c>
      <x:c r="E1" s="32" t="str">
        <x:v> </x:v>
      </x:c>
    </x:row>
    <x:row r="2" ht="15" hidden="0" customHeight="1">
      <x:c r="A2" s="16" t="str">
        <x:v>label_beat_symbol_original</x:v>
      </x:c>
      <x:c r="B2" s="16" t="str">
        <x:v>original</x:v>
      </x:c>
      <x:c r="C2" s="16" t="str">
        <x:v>WFDB atr</x:v>
      </x:c>
      <x:c r="D2" s="16" t="str">
        <x:v>Exact expert beat symbol; never overwritten.</x:v>
      </x:c>
      <x:c r="E2" s="32" t="str">
        <x:v> </x:v>
      </x:c>
    </x:row>
    <x:row r="3" ht="15" hidden="0" customHeight="1">
      <x:c r="A3" s="16" t="str">
        <x:v>label_beat_aami_superclass_derived</x:v>
      </x:c>
      <x:c r="B3" s="16" t="str">
        <x:v>derived</x:v>
      </x:c>
      <x:c r="C3" s="16" t="str">
        <x:v>AAMI grouping</x:v>
      </x:c>
      <x:c r="D3" s="16" t="str">
        <x:v>Separate N/S/V/F/Q superclass derived from the exact symbol.</x:v>
      </x:c>
      <x:c r="E3" s="32" t="str">
        <x:v> </x:v>
      </x:c>
    </x:row>
    <x:row r="4" ht="15" hidden="0" customHeight="1">
      <x:c r="A4" s="16" t="str">
        <x:v>label_beat_reference_sample</x:v>
      </x:c>
      <x:c r="B4" s="16" t="str">
        <x:v>original reference</x:v>
      </x:c>
      <x:c r="C4" s="16" t="str">
        <x:v>WFDB atr</x:v>
      </x:c>
      <x:c r="D4" s="16" t="str">
        <x:v>Expert annotation sample matched to the pipeline row anchor.</x:v>
      </x:c>
      <x:c r="E4" s="32" t="str">
        <x:v> </x:v>
      </x:c>
    </x:row>
    <x:row r="5" ht="15" hidden="0" customHeight="1">
      <x:c r="A5" s="16" t="str">
        <x:v>label_beat_match_offset_ms</x:v>
      </x:c>
      <x:c r="B5" s="16" t="str">
        <x:v>derived alignment QC</x:v>
      </x:c>
      <x:c r="C5" s="16" t="str">
        <x:v>row anchor vs WFDB atr</x:v>
      </x:c>
      <x:c r="D5" s="16" t="str">
        <x:v>Signed pipeline-anchor minus expert-sample offset in milliseconds.</x:v>
      </x:c>
      <x:c r="E5" s="32" t="str">
        <x:v> </x:v>
      </x:c>
    </x:row>
    <x:row r="6" ht="15" hidden="0" customHeight="1">
      <x:c r="A6" s="16" t="str">
        <x:v>label_beat_match_within_75ms</x:v>
      </x:c>
      <x:c r="B6" s="16" t="str">
        <x:v>derived alignment QC</x:v>
      </x:c>
      <x:c r="C6" s="16" t="str">
        <x:v>75 ms tolerance</x:v>
      </x:c>
      <x:c r="D6" s="16" t="str">
        <x:v>True when the nearest expert beat is within the frozen matching tolerance.</x:v>
      </x:c>
      <x:c r="E6" s="32" t="str">
        <x:v> </x:v>
      </x:c>
    </x:row>
    <x:row r="7" ht="15" hidden="0" customHeight="1">
      <x:c r="A7" s="16" t="str">
        <x:v>label_beat_context5_original_json</x:v>
      </x:c>
      <x:c r="B7" s="16" t="str">
        <x:v>original sequence</x:v>
      </x:c>
      <x:c r="C7" s="16" t="str">
        <x:v>WFDB atr</x:v>
      </x:c>
      <x:c r="D7" s="16" t="str">
        <x:v>Up to five exact expert symbols ending at the matched row anchor.</x:v>
      </x:c>
      <x:c r="E7" s="32" t="str">
        <x:v> </x:v>
      </x:c>
    </x:row>
    <x:row r="8" ht="15" hidden="0" customHeight="1">
      <x:c r="A8" s="16" t="str">
        <x:v>label_beat_context5_aami_derived_json</x:v>
      </x:c>
      <x:c r="B8" s="16" t="str">
        <x:v>derived sequence</x:v>
      </x:c>
      <x:c r="C8" s="16" t="str">
        <x:v>AAMI grouping</x:v>
      </x:c>
      <x:c r="D8" s="16" t="str">
        <x:v>AAMI superclass sequence corresponding to the five exact symbols.</x:v>
      </x:c>
      <x:c r="E8" s="32" t="str">
        <x:v> </x:v>
      </x:c>
    </x:row>
    <x:row r="9" ht="15" hidden="0" customHeight="1">
      <x:c r="A9" s="16" t="str">
        <x:v>label_beat_context5_homogeneous</x:v>
      </x:c>
      <x:c r="B9" s="16" t="str">
        <x:v>derived context</x:v>
      </x:c>
      <x:c r="C9" s="16" t="str">
        <x:v>five-beat sequence</x:v>
      </x:c>
      <x:c r="D9" s="16" t="str">
        <x:v>True when all available exact symbols in the context are identical.</x:v>
      </x:c>
      <x:c r="E9" s="32" t="str">
        <x:v> </x:v>
      </x:c>
    </x:row>
    <x:row r="10" ht="15" hidden="0" customHeight="1">
      <x:c r="A10" s="16" t="str">
        <x:v>label_beat_context5_contains_non_n</x:v>
      </x:c>
      <x:c r="B10" s="16" t="str">
        <x:v>derived context</x:v>
      </x:c>
      <x:c r="C10" s="16" t="str">
        <x:v>five-beat sequence</x:v>
      </x:c>
      <x:c r="D10" s="16" t="str">
        <x:v>True when the context contains an AAMI class other than N.</x:v>
      </x:c>
      <x:c r="E10" s="32" t="str">
        <x:v> </x:v>
      </x:c>
    </x:row>
    <x:row r="11" ht="15" hidden="0" customHeight="1">
      <x:c r="A11" s="16" t="str">
        <x:v>label_quality_annotator_1_original</x:v>
      </x:c>
      <x:c r="B11" s="16" t="str">
        <x:v>original</x:v>
      </x:c>
      <x:c r="C11" s="16" t="str">
        <x:v>BUT-QDB ANN columns 1-3</x:v>
      </x:c>
      <x:c r="D11" s="16" t="str">
        <x:v>Annotator 1 class at the row time.</x:v>
      </x:c>
      <x:c r="E11" s="32" t="str">
        <x:v> </x:v>
      </x:c>
    </x:row>
    <x:row r="12" ht="15" hidden="0" customHeight="1">
      <x:c r="A12" s="16" t="str">
        <x:v>label_quality_annotator_2_original</x:v>
      </x:c>
      <x:c r="B12" s="16" t="str">
        <x:v>original</x:v>
      </x:c>
      <x:c r="C12" s="16" t="str">
        <x:v>BUT-QDB ANN columns 4-6</x:v>
      </x:c>
      <x:c r="D12" s="16" t="str">
        <x:v>Annotator 2 class at the row time.</x:v>
      </x:c>
      <x:c r="E12" s="32" t="str">
        <x:v> </x:v>
      </x:c>
    </x:row>
    <x:row r="13" ht="15" hidden="0" customHeight="1">
      <x:c r="A13" s="16" t="str">
        <x:v>label_quality_annotator_3_original</x:v>
      </x:c>
      <x:c r="B13" s="16" t="str">
        <x:v>original</x:v>
      </x:c>
      <x:c r="C13" s="16" t="str">
        <x:v>BUT-QDB ANN columns 7-9</x:v>
      </x:c>
      <x:c r="D13" s="16" t="str">
        <x:v>Annotator 3 class at the row time.</x:v>
      </x:c>
      <x:c r="E13" s="32" t="str">
        <x:v> </x:v>
      </x:c>
    </x:row>
    <x:row r="14" ht="15" hidden="0" customHeight="1">
      <x:c r="A14" s="16" t="str">
        <x:v>label_quality_consensus_original</x:v>
      </x:c>
      <x:c r="B14" s="16" t="str">
        <x:v>original</x:v>
      </x:c>
      <x:c r="C14" s="16" t="str">
        <x:v>BUT-QDB ANN columns 10-12</x:v>
      </x:c>
      <x:c r="D14" s="16" t="str">
        <x:v>Consensus class 1/2/3; class 0 means not annotated.</x:v>
      </x:c>
      <x:c r="E14" s="32" t="str">
        <x:v> </x:v>
      </x:c>
    </x:row>
    <x:row r="15" ht="15" hidden="0" customHeight="1">
      <x:c r="A15" s="16" t="str">
        <x:v>label_quality_consensus_text</x:v>
      </x:c>
      <x:c r="B15" s="16" t="str">
        <x:v>source-defined display</x:v>
      </x:c>
      <x:c r="C15" s="16" t="str">
        <x:v>BUT-QDB class definitions</x:v>
      </x:c>
      <x:c r="D15" s="16" t="str">
        <x:v>Human-readable meaning of the exact consensus class.</x:v>
      </x:c>
      <x:c r="E15" s="32" t="str">
        <x:v> </x:v>
      </x:c>
    </x:row>
    <x:row r="16" ht="15" hidden="0" customHeight="1">
      <x:c r="A16" s="16" t="str">
        <x:v>label_quality_interval_start_s</x:v>
      </x:c>
      <x:c r="B16" s="16" t="str">
        <x:v>original boundary</x:v>
      </x:c>
      <x:c r="C16" s="16" t="str">
        <x:v>BUT-QDB consensus interval</x:v>
      </x:c>
      <x:c r="D16" s="16" t="str">
        <x:v>Start time of the consensus interval containing the row.</x:v>
      </x:c>
      <x:c r="E16" s="32" t="str">
        <x:v> </x:v>
      </x:c>
    </x:row>
    <x:row r="17" ht="15" hidden="0" customHeight="1">
      <x:c r="A17" s="16" t="str">
        <x:v>label_quality_interval_end_s</x:v>
      </x:c>
      <x:c r="B17" s="16" t="str">
        <x:v>original boundary</x:v>
      </x:c>
      <x:c r="C17" s="16" t="str">
        <x:v>BUT-QDB consensus interval</x:v>
      </x:c>
      <x:c r="D17" s="16" t="str">
        <x:v>End time of the consensus interval containing the row.</x:v>
      </x:c>
      <x:c r="E17" s="32" t="str">
        <x:v> </x:v>
      </x:c>
    </x:row>
    <x:row r="18" ht="15" hidden="0" customHeight="1">
      <x:c r="A18" s="16" t="str">
        <x:v>label_quality_trailing_10s_pure</x:v>
      </x:c>
      <x:c r="B18" s="16" t="str">
        <x:v>derived alignment QC</x:v>
      </x:c>
      <x:c r="C18" s="16" t="str">
        <x:v>consensus interval + 10 s lookback</x:v>
      </x:c>
      <x:c r="D18" s="16" t="str">
        <x:v>True when the complete causal quality window lies inside one consensus interval.</x:v>
      </x:c>
      <x:c r="E18" s="32" t="str">
        <x:v> </x:v>
      </x:c>
    </x:row>
    <x:row r="19" ht="15" hidden="0" customHeight="1">
      <x:c r="A19" s="16" t="str">
        <x:v>label_quality_annotator_agreement_count</x:v>
      </x:c>
      <x:c r="B19" s="16" t="str">
        <x:v>derived agreement</x:v>
      </x:c>
      <x:c r="C19" s="16" t="str">
        <x:v>three BUT-QDB annotators</x:v>
      </x:c>
      <x:c r="D19" s="16" t="str">
        <x:v>Number of individual annotators agreeing with consensus at the row time.</x:v>
      </x:c>
      <x:c r="E19" s="32" t="str">
        <x:v> </x:v>
      </x:c>
    </x:row>
    <x:row r="20" ht="15" hidden="0" customHeight="1">
      <x:c r="A20" s="16" t="str">
        <x:v>label_seizure_binary</x:v>
      </x:c>
      <x:c r="B20" s="16" t="str">
        <x:v>derived</x:v>
      </x:c>
      <x:c r="C20" s="16" t="str">
        <x:v>interval membership</x:v>
      </x:c>
      <x:c r="D20" s="16" t="str">
        <x:v>ictal only inside the original interval; otherwise non_ictal.</x:v>
      </x:c>
      <x:c r="E20" s="32" t="str">
        <x:v> </x:v>
      </x:c>
    </x:row>
    <x:row r="21" ht="15" hidden="0" customHeight="1">
      <x:c r="A21" s="16" t="str">
        <x:v>label_seizure_phase_derived</x:v>
      </x:c>
      <x:c r="B21" s="16" t="str">
        <x:v>derived</x:v>
      </x:c>
      <x:c r="C21" s="16" t="str">
        <x:v>interval +/- 300 s</x:v>
      </x:c>
      <x:c r="D21" s="16" t="str">
        <x:v>Exploratory ictal/preictal/postictal/interictal phase.</x:v>
      </x:c>
      <x:c r="E21" s="32" t="str">
        <x:v> </x:v>
      </x:c>
    </x:row>
    <x:row r="22" ht="15" hidden="0" customHeight="1">
      <x:c r="A22" s="16" t="str">
        <x:v>label_seizure_interval_id</x:v>
      </x:c>
      <x:c r="B22" s="16" t="str">
        <x:v>derived identifier</x:v>
      </x:c>
      <x:c r="C22" s="16" t="str">
        <x:v>datasets.toml interval order</x:v>
      </x:c>
      <x:c r="D22" s="16" t="str">
        <x:v>Stable identifier of the nearest or containing configured seizure interval.</x:v>
      </x:c>
      <x:c r="E22" s="32" t="str">
        <x:v> </x:v>
      </x:c>
    </x:row>
    <x:row r="23" ht="15" hidden="0" customHeight="1">
      <x:c r="A23" s="16" t="str">
        <x:v>label_seizure_interval_original_json</x:v>
      </x:c>
      <x:c r="B23" s="16" t="str">
        <x:v>original interval</x:v>
      </x:c>
      <x:c r="C23" s="16" t="str">
        <x:v>datasets.toml</x:v>
      </x:c>
      <x:c r="D23" s="16" t="str">
        <x:v>Configured expert seizure onset/offset pair in seconds.</x:v>
      </x:c>
      <x:c r="E23" s="32" t="str">
        <x:v> </x:v>
      </x:c>
    </x:row>
    <x:row r="24" ht="15" hidden="0" customHeight="1">
      <x:c r="A24" s="16" t="str">
        <x:v>label_seconds_from_seizure_onset</x:v>
      </x:c>
      <x:c r="B24" s="16" t="str">
        <x:v>derived distance</x:v>
      </x:c>
      <x:c r="C24" s="16" t="str">
        <x:v>configured seizure onset</x:v>
      </x:c>
      <x:c r="D24" s="16" t="str">
        <x:v>Signed seconds from the applicable seizure onset.</x:v>
      </x:c>
      <x:c r="E24" s="32" t="str">
        <x:v> </x:v>
      </x:c>
    </x:row>
    <x:row r="25" ht="15" hidden="0" customHeight="1">
      <x:c r="A25" s="16" t="str">
        <x:v>label_seconds_from_seizure_offset</x:v>
      </x:c>
      <x:c r="B25" s="16" t="str">
        <x:v>derived distance</x:v>
      </x:c>
      <x:c r="C25" s="16" t="str">
        <x:v>configured seizure offset</x:v>
      </x:c>
      <x:c r="D25" s="16" t="str">
        <x:v>Signed seconds from the applicable seizure offset.</x:v>
      </x:c>
      <x:c r="E25" s="32" t="str">
        <x:v> </x:v>
      </x:c>
    </x:row>
    <x:row r="26" ht="15" hidden="0" customHeight="1">
      <x:c r="A26" s="16" t="str">
        <x:v>label_seizure_phase_rule</x:v>
      </x:c>
      <x:c r="B26" s="16" t="str">
        <x:v>derived provenance</x:v>
      </x:c>
      <x:c r="C26" s="16" t="str">
        <x:v>frozen phase mapping</x:v>
      </x:c>
      <x:c r="D26" s="16" t="str">
        <x:v>Text form of the rule used to derive the exploratory phase.</x:v>
      </x:c>
      <x:c r="E26" s="32" t="str">
        <x:v> </x:v>
      </x:c>
    </x:row>
    <x:row r="27" ht="15" hidden="0" customHeight="1">
      <x:c r="A27" s="16" t="str">
        <x:v>label_noise_type_original</x:v>
      </x:c>
      <x:c r="B27" s="16" t="str">
        <x:v>original experimental condition</x:v>
      </x:c>
      <x:c r="C27" s="16" t="str">
        <x:v>NSTDB generator</x:v>
      </x:c>
      <x:c r="D27" s="16" t="str">
        <x:v>Exact noise type token; em denotes electrode-motion noise.</x:v>
      </x:c>
      <x:c r="E27" s="32" t="str">
        <x:v> </x:v>
      </x:c>
    </x:row>
    <x:row r="28" ht="15" hidden="0" customHeight="1">
      <x:c r="A28" s="16" t="str">
        <x:v>label_noise_condition_original</x:v>
      </x:c>
      <x:c r="B28" s="16" t="str">
        <x:v>original experimental condition</x:v>
      </x:c>
      <x:c r="C28" s="16" t="str">
        <x:v>NSTDB record name</x:v>
      </x:c>
      <x:c r="D28" s="16" t="str">
        <x:v>Official electrode-motion SNR condition.</x:v>
      </x:c>
      <x:c r="E28" s="32" t="str">
        <x:v> </x:v>
      </x:c>
    </x:row>
    <x:row r="29" ht="15" hidden="0" customHeight="1">
      <x:c r="A29" s="16" t="str">
        <x:v>label_noise_snr_db_original</x:v>
      </x:c>
      <x:c r="B29" s="16" t="str">
        <x:v>original experimental value</x:v>
      </x:c>
      <x:c r="C29" s="16" t="str">
        <x:v>NSTDB record name</x:v>
      </x:c>
      <x:c r="D29" s="16" t="str">
        <x:v>Numeric signal-to-noise ratio in decibels.</x:v>
      </x:c>
      <x:c r="E29" s="32" t="str">
        <x:v> </x:v>
      </x:c>
    </x:row>
    <x:row r="30" ht="15" hidden="0" customHeight="1">
      <x:c r="A30" s="16" t="str">
        <x:v>label_noise_active</x:v>
      </x:c>
      <x:c r="B30" s="16" t="str">
        <x:v>derived</x:v>
      </x:c>
      <x:c r="C30" s="16" t="str">
        <x:v>NSTDB official schedule</x:v>
      </x:c>
      <x:c r="D30" s="16" t="str">
        <x:v>True only in alternating official two-minute noisy intervals.</x:v>
      </x:c>
      <x:c r="E30" s="32" t="str">
        <x:v> </x:v>
      </x:c>
    </x:row>
    <x:row r="31" ht="15" hidden="0" customHeight="1">
      <x:c r="A31" s="16" t="str">
        <x:v>label_noise_interval_index</x:v>
      </x:c>
      <x:c r="B31" s="16" t="str">
        <x:v>derived schedule index</x:v>
      </x:c>
      <x:c r="C31" s="16" t="str">
        <x:v>NSTDB official schedule</x:v>
      </x:c>
      <x:c r="D31" s="16" t="str">
        <x:v>Index of the active official noisy interval, when applicable.</x:v>
      </x:c>
      <x:c r="E31" s="32" t="str">
        <x:v> </x:v>
      </x:c>
    </x:row>
    <x:row r="32" ht="15" hidden="0" customHeight="1">
      <x:c r="A32" s="16" t="str">
        <x:v>label_ludb_diagnoses_original_json</x:v>
      </x:c>
      <x:c r="B32" s="16" t="str">
        <x:v>original</x:v>
      </x:c>
      <x:c r="C32" s="16" t="str">
        <x:v>LUDB WFDB header comments</x:v>
      </x:c>
      <x:c r="D32" s="16" t="str">
        <x:v>Ordered diagnosis strings with source wording and punctuation preserved.</x:v>
      </x:c>
      <x:c r="E32" s="32" t="str">
        <x:v> </x:v>
      </x:c>
    </x:row>
    <x:row r="33" ht="15" hidden="0" customHeight="1">
      <x:c r="A33" s="16" t="str">
        <x:v>label_ludb_rhythm_original</x:v>
      </x:c>
      <x:c r="B33" s="16" t="str">
        <x:v>original</x:v>
      </x:c>
      <x:c r="C33" s="16" t="str">
        <x:v>LUDB WFDB header comments</x:v>
      </x:c>
      <x:c r="D33" s="16" t="str">
        <x:v>Exact Rhythm diagnosis line.</x:v>
      </x:c>
      <x:c r="E33" s="32" t="str">
        <x:v> </x:v>
      </x:c>
    </x:row>
    <x:row r="34" ht="15" hidden="0" customHeight="1">
      <x:c r="A34" s="16" t="str">
        <x:v>label_record_comments_original_json</x:v>
      </x:c>
      <x:c r="B34" s="16" t="str">
        <x:v>original</x:v>
      </x:c>
      <x:c r="C34" s="16" t="str">
        <x:v>WFDB header comments</x:v>
      </x:c>
      <x:c r="D34" s="16" t="str">
        <x:v>Ordered source record comments without normalization.</x:v>
      </x:c>
      <x:c r="E34" s="32" t="str">
        <x:v> </x:v>
      </x:c>
    </x:row>
    <x:row r="35" ht="15" hidden="0" customHeight="1">
      <x:c r="A35" s="16" t="str">
        <x:v>label_manual_annotation_source_original</x:v>
      </x:c>
      <x:c r="B35" s="16" t="str">
        <x:v>original reference</x:v>
      </x:c>
      <x:c r="C35" s="16" t="str">
        <x:v>LUDB lead annotation or QTDB q1c</x:v>
      </x:c>
      <x:c r="D35" s="16" t="str">
        <x:v>Manual landmark source attached to the matched anchor.</x:v>
      </x:c>
      <x:c r="E35" s="32" t="str">
        <x:v> </x:v>
      </x:c>
    </x:row>
    <x:row r="36" ht="15" hidden="0" customHeight="1">
      <x:c r="A36" s="16" t="str">
        <x:v>label_manual_reference_match_offset_ms</x:v>
      </x:c>
      <x:c r="B36" s="16" t="str">
        <x:v>derived alignment QC</x:v>
      </x:c>
      <x:c r="C36" s="16" t="str">
        <x:v>row anchor vs manual anchor</x:v>
      </x:c>
      <x:c r="D36" s="16" t="str">
        <x:v>Signed row-anchor minus manual-reference offset in milliseconds.</x:v>
      </x:c>
      <x:c r="E36" s="32" t="str">
        <x:v> </x:v>
      </x:c>
    </x:row>
    <x:row r="37" ht="15" hidden="0" customHeight="1">
      <x:c r="A37" s="16" t="str">
        <x:v>label_manual_reference_anchor_sample</x:v>
      </x:c>
      <x:c r="B37" s="16" t="str">
        <x:v>original reference</x:v>
      </x:c>
      <x:c r="C37" s="16" t="str">
        <x:v>manual delineation</x:v>
      </x:c>
      <x:c r="D37" s="16" t="str">
        <x:v>Manual reference anchor sample paired to the row.</x:v>
      </x:c>
      <x:c r="E37" s="32" t="str">
        <x:v> </x:v>
      </x:c>
    </x:row>
    <x:row r="38" ht="15" hidden="0" customHeight="1">
      <x:c r="A38" s="16" t="str">
        <x:v>label_manual_p_onset_sample</x:v>
      </x:c>
      <x:c r="B38" s="16" t="str">
        <x:v>original landmark</x:v>
      </x:c>
      <x:c r="C38" s="16" t="str">
        <x:v>manual delineation</x:v>
      </x:c>
      <x:c r="D38" s="16" t="str">
        <x:v>Manual P-wave onset sample.</x:v>
      </x:c>
      <x:c r="E38" s="32" t="str">
        <x:v> </x:v>
      </x:c>
    </x:row>
    <x:row r="39" ht="15" hidden="0" customHeight="1">
      <x:c r="A39" s="16" t="str">
        <x:v>label_manual_qrs_onset_sample</x:v>
      </x:c>
      <x:c r="B39" s="16" t="str">
        <x:v>original landmark</x:v>
      </x:c>
      <x:c r="C39" s="16" t="str">
        <x:v>manual delineation</x:v>
      </x:c>
      <x:c r="D39" s="16" t="str">
        <x:v>Manual QRS onset sample.</x:v>
      </x:c>
      <x:c r="E39" s="32" t="str">
        <x:v> </x:v>
      </x:c>
    </x:row>
    <x:row r="40" ht="15" hidden="0" customHeight="1">
      <x:c r="A40" s="16" t="str">
        <x:v>label_manual_r_peak_sample</x:v>
      </x:c>
      <x:c r="B40" s="16" t="str">
        <x:v>original landmark</x:v>
      </x:c>
      <x:c r="C40" s="16" t="str">
        <x:v>manual delineation</x:v>
      </x:c>
      <x:c r="D40" s="16" t="str">
        <x:v>Manual R-peak sample.</x:v>
      </x:c>
      <x:c r="E40" s="32" t="str">
        <x:v> </x:v>
      </x:c>
    </x:row>
    <x:row r="41" ht="15" hidden="0" customHeight="1">
      <x:c r="A41" s="16" t="str">
        <x:v>label_manual_qrs_offset_sample</x:v>
      </x:c>
      <x:c r="B41" s="16" t="str">
        <x:v>original landmark</x:v>
      </x:c>
      <x:c r="C41" s="16" t="str">
        <x:v>manual delineation</x:v>
      </x:c>
      <x:c r="D41" s="16" t="str">
        <x:v>Manual QRS offset sample.</x:v>
      </x:c>
      <x:c r="E41" s="32" t="str">
        <x:v> </x:v>
      </x:c>
    </x:row>
    <x:row r="42" ht="15" hidden="0" customHeight="1">
      <x:c r="A42" s="16" t="str">
        <x:v>label_manual_t_peak_sample</x:v>
      </x:c>
      <x:c r="B42" s="16" t="str">
        <x:v>original landmark</x:v>
      </x:c>
      <x:c r="C42" s="16" t="str">
        <x:v>manual delineation</x:v>
      </x:c>
      <x:c r="D42" s="16" t="str">
        <x:v>Manual T-wave peak sample.</x:v>
      </x:c>
      <x:c r="E42" s="32" t="str">
        <x:v> </x:v>
      </x:c>
    </x:row>
    <x:row r="43" ht="15" hidden="0" customHeight="1">
      <x:c r="A43" s="16" t="str">
        <x:v>label_manual_t_offset_sample</x:v>
      </x:c>
      <x:c r="B43" s="16" t="str">
        <x:v>original landmark</x:v>
      </x:c>
      <x:c r="C43" s="16" t="str">
        <x:v>manual delineation</x:v>
      </x:c>
      <x:c r="D43" s="16" t="str">
        <x:v>Manual T-wave offset sample.</x:v>
      </x:c>
      <x:c r="E43" s="32" t="str">
        <x:v> </x:v>
      </x:c>
    </x:row>
    <x:row r="44" ht="15" hidden="0" customHeight="1">
      <x:c r="A44" s="16" t="str">
        <x:v>label_manual_pr_interval_ms</x:v>
      </x:c>
      <x:c r="B44" s="16" t="str">
        <x:v>derived reference measurement</x:v>
      </x:c>
      <x:c r="C44" s="16" t="str">
        <x:v>manual landmarks</x:v>
      </x:c>
      <x:c r="D44" s="16" t="str">
        <x:v>P onset to QRS onset; label-side regression truth, never a model input.</x:v>
      </x:c>
      <x:c r="E44" s="32" t="str">
        <x:v> </x:v>
      </x:c>
    </x:row>
    <x:row r="45" ht="15" hidden="0" customHeight="1">
      <x:c r="A45" s="16" t="str">
        <x:v>label_manual_qrs_duration_ms</x:v>
      </x:c>
      <x:c r="B45" s="16" t="str">
        <x:v>derived reference measurement</x:v>
      </x:c>
      <x:c r="C45" s="16" t="str">
        <x:v>manual landmarks</x:v>
      </x:c>
      <x:c r="D45" s="16" t="str">
        <x:v>QRS onset to QRS offset.</x:v>
      </x:c>
      <x:c r="E45" s="32" t="str">
        <x:v> </x:v>
      </x:c>
    </x:row>
    <x:row r="46" ht="15" hidden="0" customHeight="1">
      <x:c r="A46" s="16" t="str">
        <x:v>label_manual_qt_interval_ms</x:v>
      </x:c>
      <x:c r="B46" s="16" t="str">
        <x:v>derived reference measurement</x:v>
      </x:c>
      <x:c r="C46" s="16" t="str">
        <x:v>manual landmarks</x:v>
      </x:c>
      <x:c r="D46" s="16" t="str">
        <x:v>QRS onset to T offset.</x:v>
      </x:c>
      <x:c r="E46" s="32" t="str">
        <x:v> </x:v>
      </x:c>
    </x:row>
    <x:row r="47" ht="15" hidden="0" customHeight="1">
      <x:c r="A47" s="16" t="str">
        <x:v>label_manual_jt_interval_ms</x:v>
      </x:c>
      <x:c r="B47" s="16" t="str">
        <x:v>derived reference measurement</x:v>
      </x:c>
      <x:c r="C47" s="16" t="str">
        <x:v>manual landmarks</x:v>
      </x:c>
      <x:c r="D47" s="16" t="str">
        <x:v>QRS offset to T offset.</x:v>
      </x:c>
      <x:c r="E47" s="32" t="str">
        <x:v> </x:v>
      </x:c>
    </x:row>
    <x:row r="48" ht="15" hidden="0" customHeight="1">
      <x:c r="A48" s="16" t="str">
        <x:v>label_manual_t_peak_to_end_ms</x:v>
      </x:c>
      <x:c r="B48" s="16" t="str">
        <x:v>derived reference measurement</x:v>
      </x:c>
      <x:c r="C48" s="16" t="str">
        <x:v>manual landmarks</x:v>
      </x:c>
      <x:c r="D48" s="16" t="str">
        <x:v>T peak to T offset.</x:v>
      </x:c>
      <x:c r="E48" s="32" t="str">
        <x:v> </x:v>
      </x:c>
    </x:row>
    <x:row r="49" ht="15" hidden="0" customHeight="1">
      <x:c r="A49" s="16" t="str">
        <x:v>source_age_original</x:v>
      </x:c>
      <x:c r="B49" s="16" t="str">
        <x:v>original metadata</x:v>
      </x:c>
      <x:c r="C49" s="16" t="str">
        <x:v>source demographics/header</x:v>
      </x:c>
      <x:c r="D49" s="16" t="str">
        <x:v>Source age value as published, without normalization.</x:v>
      </x:c>
      <x:c r="E49" s="32" t="str">
        <x:v> </x:v>
      </x:c>
    </x:row>
    <x:row r="50" ht="15" hidden="0" customHeight="1">
      <x:c r="A50" s="16" t="str">
        <x:v>source_sex_original</x:v>
      </x:c>
      <x:c r="B50" s="16" t="str">
        <x:v>original metadata</x:v>
      </x:c>
      <x:c r="C50" s="16" t="str">
        <x:v>source demographics/header</x:v>
      </x:c>
      <x:c r="D50" s="16" t="str">
        <x:v>Source sex value as published, without normalization.</x:v>
      </x:c>
      <x:c r="E50" s="32" t="str">
        <x:v> </x:v>
      </x:c>
    </x:row>
    <x:row r="51" ht="15" hidden="0" customHeight="1">
      <x:c r="A51" s="16" t="str">
        <x:v>any_reference_label_available</x:v>
      </x:c>
      <x:c r="B51" s="16" t="str">
        <x:v>derived availability QC</x:v>
      </x:c>
      <x:c r="C51" s="16" t="str">
        <x:v>all label namespaces</x:v>
      </x:c>
      <x:c r="D51" s="16" t="str">
        <x:v>True when at least one primary reference label is available for the row.</x:v>
      </x:c>
      <x:c r="E51" s="32" t="str">
        <x:v> </x:v>
      </x:c>
    </x:row>
    <x:row r="52" ht="24" hidden="0" customHeight="1">
      <x:c r="A52" s="16" t="str">
        <x:v>target_artifact_binary</x:v>
      </x:c>
      <x:c r="B52" s="16" t="str">
        <x:v>derived binary target</x:v>
      </x:c>
      <x:c r="C52" s="16" t="str">
        <x:v>BUT-QDB consensus or NSTDB schedule</x:v>
      </x:c>
      <x:c r="D52" s="16" t="str">
        <x:v>Integer 0/1 artifact target. BUT-QDB uses pure class 1=0 and pure class 2/3=1; NSTDB uses noise inactive=0 and active=1.</x:v>
      </x:c>
      <x:c r="E52" s="32" t="str">
        <x:v> </x:v>
      </x:c>
    </x:row>
    <x:row r="53" ht="15" hidden="0" customHeight="1">
      <x:c r="A53" s="16" t="str">
        <x:v>target_artifact_source_derived</x:v>
      </x:c>
      <x:c r="B53" s="16" t="str">
        <x:v>derived target provenance</x:v>
      </x:c>
      <x:c r="C53" s="16" t="str">
        <x:v>binary artifact mapping</x:v>
      </x:c>
      <x:c r="D53" s="16" t="str">
        <x:v>Exact mapping source used to create target_artifact_binary for this row.</x:v>
      </x:c>
      <x:c r="E53" s="32" t="str">
        <x:v> </x:v>
      </x:c>
    </x:row>
    <x:row r="54" ht="15" hidden="0" customHeight="1">
      <x:c r="A54" s="16" t="str">
        <x:v>target_seizure_binary</x:v>
      </x:c>
      <x:c r="B54" s="16" t="str">
        <x:v>derived binary target</x:v>
      </x:c>
      <x:c r="C54" s="16" t="str">
        <x:v>configured seizure intervals</x:v>
      </x:c>
      <x:c r="D54" s="16" t="str">
        <x:v>Integer 1 inside an original seizure interval and 0 outside it.</x:v>
      </x:c>
      <x:c r="E54" s="32" t="str">
        <x:v> </x:v>
      </x:c>
    </x:row>
    <x:row r="55" ht="15" hidden="0" customHeight="1">
      <x:c r="A55" s="16" t="str">
        <x:v>target_abnormal_beat_binary</x:v>
      </x:c>
      <x:c r="B55" s="16" t="str">
        <x:v>derived binary target</x:v>
      </x:c>
      <x:c r="C55" s="16" t="str">
        <x:v>AAMI beat superclass</x:v>
      </x:c>
      <x:c r="D55" s="16" t="str">
        <x:v>Integer 0 for AAMI N and 1 for AAMI S/V/F/Q; the exact WFDB symbol remains separate.</x:v>
      </x:c>
      <x:c r="E55" s="32" t="str">
        <x:v> </x:v>
      </x:c>
    </x:row>
    <x:row r="56" ht="15" hidden="0" customHeight="1">
      <x:c r="A56" s="16" t="str">
        <x:v>target_noise_active_binary</x:v>
      </x:c>
      <x:c r="B56" s="16" t="str">
        <x:v>derived binary target</x:v>
      </x:c>
      <x:c r="C56" s="16" t="str">
        <x:v>NSTDB official schedule</x:v>
      </x:c>
      <x:c r="D56" s="16" t="str">
        <x:v>Integer 1 during an official noisy interval and 0 during the clean interval.</x:v>
      </x:c>
      <x:c r="E56" s="32" t="str">
        <x:v> </x:v>
      </x:c>
    </x:row>
    <x:row r="57" ht="15" hidden="0" customHeight="1">
      <x:c r="A57" s="16" t="str">
        <x:v>target_signal_unusable_binary</x:v>
      </x:c>
      <x:c r="B57" s="16" t="str">
        <x:v>derived binary target</x:v>
      </x:c>
      <x:c r="C57" s="16" t="str">
        <x:v>BUT-QDB strict consensus</x:v>
      </x:c>
      <x:c r="D57" s="16" t="str">
        <x:v>Integer 0 for pure consensus class 1 and 1 for pure consensus class 3; class 2 is deliberately excluded.</x:v>
      </x:c>
      <x:c r="E57" s="32" t="str">
        <x:v> </x:v>
      </x:c>
    </x:row>
    <x:row r="58" ht="6" customHeight="1">
      <x:c r="A58" s="32" t="str">
        <x:v> </x:v>
      </x:c>
      <x:c r="B58" s="32" t="str">
        <x:v> </x:v>
      </x:c>
      <x:c r="C58" s="32" t="str">
        <x:v> </x:v>
      </x:c>
      <x:c r="D58" s="32" t="str">
        <x:v> </x:v>
      </x:c>
      <x:c r="E58" s="32" t="str">
        <x:v> 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54" hidden="0" customWidth="1"/>
    <x:col min="5" max="5" width="14" hidden="0" customWidth="1"/>
    <x:col min="6" max="6" width="90" hidden="0" customWidth="1"/>
    <x:col min="7" max="7" width="2" hidden="0" customWidth="1"/>
  </x:cols>
  <x:sheetData>
    <x:row r="1" ht="15" hidden="0" customHeight="1">
      <x:c r="A1" s="28" t="str">
        <x:v>combination_id</x:v>
      </x:c>
      <x:c r="B1" s="28" t="str">
        <x:v>branch_count</x:v>
      </x:c>
      <x:c r="C1" s="28" t="str">
        <x:v>branches</x:v>
      </x:c>
      <x:c r="D1" s="28" t="str">
        <x:v>branch_names_json</x:v>
      </x:c>
      <x:c r="E1" s="28" t="str">
        <x:v>feature_count</x:v>
      </x:c>
      <x:c r="F1" s="28" t="str">
        <x:v>feature_columns_json</x:v>
      </x:c>
      <x:c r="G1" s="32" t="str">
        <x:v> </x:v>
      </x:c>
    </x:row>
    <x:row r="2" ht="36" hidden="0" customHeight="1">
      <x:c r="A2" s="16" t="str">
        <x:v>B1</x:v>
      </x:c>
      <x:c r="B2" s="29" t="str">
        <x:v>1</x:v>
      </x:c>
      <x:c r="C2" s="16" t="str">
        <x:v>B1</x:v>
      </x:c>
      <x:c r="D2" s="16" t="str">
        <x:v>["Peak detection, RR, HRV, and PRSA/BPRSA context"]</x:v>
      </x:c>
      <x:c r="E2" s="29" t="str">
        <x:v>15</x:v>
      </x:c>
      <x:c r="F2" s="16" t="str">
        <x:v>["hrv_rr_ms", "hrv_heart_rate_bpm", "hrv_sd1_raw_ms", "hrv_sd2_raw_ms", "hrv_csi100", "hrv_modcsi100_filtered_ms", "hrv_slope100_bpm_per_s", "hrv_j1_csi_x_slope", "hrv_j2_modcsi_filtered_x_slope", "prsa_mean_rr80_ms", "prsa_sdnn80_ms", "prsa_s_rr_ms_per_sample", "prsa_delta_rr_ms_per_sample", "bprsa_s_r_ms_per_sample", "bprsa_delta_r_ms_per_sample"]</x:v>
      </x:c>
      <x:c r="G2" s="32" t="str">
        <x:v> </x:v>
      </x:c>
    </x:row>
    <x:row r="3" ht="48" hidden="0" customHeight="1">
      <x:c r="A3" s="16" t="str">
        <x:v>B2</x:v>
      </x:c>
      <x:c r="B3" s="29" t="str">
        <x:v>1</x:v>
      </x:c>
      <x:c r="C3" s="16" t="str">
        <x:v>B2</x:v>
      </x:c>
      <x:c r="D3" s="16" t="str">
        <x:v>["Patient morphology, template morphology, and P-QRS-T morphology"]</x:v>
      </x:c>
      <x:c r="E3" s="29" t="str">
        <x:v>16</x:v>
      </x:c>
      <x:c r="F3" s="16" t="str">
        <x:v>["cal_varon_lambda1", "cal_varon_lambda2", "cal_varon_lambda3", "cal_varon_lambda4", "cal_varon_lambda5", "template_correlation", "template_normalized_rmse", "template_raw_residual_rms", "template_derivative_dtw_cost", "template_dtw_warp_fraction", "pqrst_qrs_duration_ms", "pqrst_pr_interval_ms", "pqrst_qt_interval_ms", "pqrst_qrs_peak_to_peak_amplitude", "pqrst_qrs_signed_area", "pqrst_landmark_availability_fraction"]</x:v>
      </x:c>
      <x:c r="G3" s="32" t="str">
        <x:v> </x:v>
      </x:c>
    </x:row>
    <x:row r="4" ht="48" hidden="0" customHeight="1">
      <x:c r="A4" s="16" t="str">
        <x:v>B3</x:v>
      </x:c>
      <x:c r="B4" s="29" t="str">
        <x:v>1</x:v>
      </x:c>
      <x:c r="C4" s="16" t="str">
        <x:v>B3</x:v>
      </x:c>
      <x:c r="D4" s="16" t="str">
        <x:v>["Conduction and repolarization information"]</x:v>
      </x:c>
      <x:c r="E4" s="29" t="str">
        <x:v>13</x:v>
      </x:c>
      <x:c r="F4" s="16" t="str">
        <x:v>["conduction_jt_interval_ms", "conduction_t_peak_to_end_ms", "conduction_qtc_bazett_ms", "conduction_qtc_fridericia_ms", "conduction_qtc_framingham_ms", "conduction_delta_pr_ms", "conduction_delta_qt_ms", "conduction_p_to_r_ms", "conduction_t_to_r_ms", "conduction_qt_median5_ms", "conduction_qt_range5_ms", "conduction_qt_slope5_ms_per_beat", "conduction_qtc_fridericia_mean9_ms"]</x:v>
      </x:c>
      <x:c r="G4" s="32" t="str">
        <x:v> </x:v>
      </x:c>
    </x:row>
    <x:row r="5" ht="24" hidden="0" customHeight="1">
      <x:c r="A5" s="16" t="str">
        <x:v>B4</x:v>
      </x:c>
      <x:c r="B5" s="29" t="str">
        <x:v>1</x:v>
      </x:c>
      <x:c r="C5" s="16" t="str">
        <x:v>B4</x:v>
      </x:c>
      <x:c r="D5" s="16" t="str">
        <x:v>["Signal-quality context"]</x:v>
      </x:c>
      <x:c r="E5" s="29" t="str">
        <x:v>8</x:v>
      </x:c>
      <x:c r="F5" s="16" t="str">
        <x:v>["quality_finite_fraction", "quality_flat_fraction", "quality_bassqi", "quality_psqi", "quality_bsqi", "quality_qsqi", "quality_rr_support", "quality_template_corr"]</x:v>
      </x:c>
      <x:c r="G5" s="32" t="str">
        <x:v> </x:v>
      </x:c>
    </x:row>
    <x:row r="6" ht="84" hidden="0" customHeight="1">
      <x:c r="A6" s="16" t="str">
        <x:v>B1+B2</x:v>
      </x:c>
      <x:c r="B6" s="29" t="str">
        <x:v>2</x:v>
      </x:c>
      <x:c r="C6" s="16" t="str">
        <x:v>B1+B2</x:v>
      </x:c>
      <x:c r="D6" s="16" t="str">
        <x:v>["Peak detection, RR, HRV, and PRSA/BPRSA context", "Patient morphology, template morphology, and P-QRS-T morphology"]</x:v>
      </x:c>
      <x:c r="E6" s="29" t="str">
        <x:v>31</x:v>
      </x:c>
      <x:c r="F6" s="16" t="str">
        <x:v>["hrv_rr_ms", "hrv_heart_rate_bpm", "hrv_sd1_raw_ms", "hrv_sd2_raw_ms", "hrv_csi100", "hrv_modcsi100_filtered_ms", "hrv_slope100_bpm_per_s", "hrv_j1_csi_x_slope", "hrv_j2_modcsi_filtered_x_slope", "prsa_mean_rr80_ms", "prsa_sdnn80_ms", "prsa_s_rr_ms_per_sample", "prsa_delta_rr_ms_per_sample", "bprsa_s_r_ms_per_sample", "bprsa_delta_r_ms_per_sample", "cal_varon_lambda1", "cal_varon_lambda2", "cal_varon_lambda3", "cal_varon_lambda4", "cal_varon_lambda5", "template_correlation", "template_normalized_rmse", "template_raw_residual_rms", "template_derivative_dtw_cost", "template_dtw_warp_fraction", "pqrst_qrs_duration_ms", "pqrst_pr_interval_ms", "pqrst_qt_interval_ms", "pqrst_qrs_peak_to_peak_amplitude", "pqrst_qrs_signed_area", "pqrst_landmark_availability_fraction"]</x:v>
      </x:c>
      <x:c r="G6" s="32" t="str">
        <x:v> </x:v>
      </x:c>
    </x:row>
    <x:row r="7" ht="84" hidden="0" customHeight="1">
      <x:c r="A7" s="16" t="str">
        <x:v>B1+B3</x:v>
      </x:c>
      <x:c r="B7" s="29" t="str">
        <x:v>2</x:v>
      </x:c>
      <x:c r="C7" s="16" t="str">
        <x:v>B1+B3</x:v>
      </x:c>
      <x:c r="D7" s="16" t="str">
        <x:v>["Peak detection, RR, HRV, and PRSA/BPRSA context", "Conduction and repolarization information"]</x:v>
      </x:c>
      <x:c r="E7" s="29" t="str">
        <x:v>28</x:v>
      </x:c>
      <x:c r="F7" s="16" t="str">
        <x:v>["hrv_rr_ms", "hrv_heart_rate_bpm", "hrv_sd1_raw_ms", "hrv_sd2_raw_ms", "hrv_csi100", "hrv_modcsi100_filtered_ms", "hrv_slope100_bpm_per_s", "hrv_j1_csi_x_slope", "hrv_j2_modcsi_filtered_x_slope", "prsa_mean_rr80_ms", "prsa_sdnn80_ms", "prsa_s_rr_ms_per_sample", "prsa_delta_rr_ms_per_sample", "bprsa_s_r_ms_per_sample", "bprsa_delta_r_ms_per_sample", "conduction_jt_interval_ms", "conduction_t_peak_to_end_ms", "conduction_qtc_bazett_ms", "conduction_qtc_fridericia_ms", "conduction_qtc_framingham_ms", "conduction_delta_pr_ms", "conduction_delta_qt_ms", "conduction_p_to_r_ms", "conduction_t_to_r_ms", "conduction_qt_median5_ms", "conduction_qt_range5_ms", "conduction_qt_slope5_ms_per_beat", "conduction_qtc_fridericia_mean9_ms"]</x:v>
      </x:c>
      <x:c r="G7" s="32" t="str">
        <x:v> </x:v>
      </x:c>
    </x:row>
    <x:row r="8" ht="60" hidden="0" customHeight="1">
      <x:c r="A8" s="16" t="str">
        <x:v>B1+B4</x:v>
      </x:c>
      <x:c r="B8" s="29" t="str">
        <x:v>2</x:v>
      </x:c>
      <x:c r="C8" s="16" t="str">
        <x:v>B1+B4</x:v>
      </x:c>
      <x:c r="D8" s="16" t="str">
        <x:v>["Peak detection, RR, HRV, and PRSA/BPRSA context", "Signal-quality context"]</x:v>
      </x:c>
      <x:c r="E8" s="29" t="str">
        <x:v>23</x:v>
      </x:c>
      <x:c r="F8" s="16" t="str">
        <x:v>["hrv_rr_ms", "hrv_heart_rate_bpm", "hrv_sd1_raw_ms", "hrv_sd2_raw_ms", "hrv_csi100", "hrv_modcsi100_filtered_ms", "hrv_slope100_bpm_per_s", "hrv_j1_csi_x_slope", "hrv_j2_modcsi_filtered_x_slope", "prsa_mean_rr80_ms", "prsa_sdnn80_ms", "prsa_s_rr_ms_per_sample", "prsa_delta_rr_ms_per_sample", "bprsa_s_r_ms_per_sample", "bprsa_delta_r_ms_per_sample", "quality_finite_fraction", "quality_flat_fraction", "quality_bassqi", "quality_psqi", "quality_bsqi", "quality_qsqi", "quality_rr_support", "quality_template_corr"]</x:v>
      </x:c>
      <x:c r="G8" s="32" t="str">
        <x:v> </x:v>
      </x:c>
    </x:row>
    <x:row r="9" ht="96" hidden="0" customHeight="1">
      <x:c r="A9" s="16" t="str">
        <x:v>B2+B3</x:v>
      </x:c>
      <x:c r="B9" s="29" t="str">
        <x:v>2</x:v>
      </x:c>
      <x:c r="C9" s="16" t="str">
        <x:v>B2+B3</x:v>
      </x:c>
      <x:c r="D9" s="16" t="str">
        <x:v>["Patient morphology, template morphology, and P-QRS-T morphology", "Conduction and repolarization information"]</x:v>
      </x:c>
      <x:c r="E9" s="29" t="str">
        <x:v>29</x:v>
      </x:c>
      <x:c r="F9" s="16" t="str">
        <x:v>["cal_varon_lambda1", "cal_varon_lambda2", "cal_varon_lambda3", "cal_varon_lambda4", "cal_varon_lambda5", "template_correlation", "template_normalized_rmse", "template_raw_residual_rms", "template_derivative_dtw_cost", "template_dtw_warp_fraction", "pqrst_qrs_duration_ms", "pqrst_pr_interval_ms", "pqrst_qt_interval_ms", "pqrst_qrs_peak_to_peak_amplitude", "pqrst_qrs_signed_area", "pqrst_landmark_availability_fraction", "conduction_jt_interval_ms", "conduction_t_peak_to_end_ms", "conduction_qtc_bazett_ms", "conduction_qtc_fridericia_ms", "conduction_qtc_framingham_ms", "conduction_delta_pr_ms", "conduction_delta_qt_ms", "conduction_p_to_r_ms", "conduction_t_to_r_ms", "conduction_qt_median5_ms", "conduction_qt_range5_ms", "conduction_qt_slope5_ms_per_beat", "conduction_qtc_fridericia_mean9_ms"]</x:v>
      </x:c>
      <x:c r="G9" s="32" t="str">
        <x:v> </x:v>
      </x:c>
    </x:row>
    <x:row r="10" ht="72" hidden="0" customHeight="1">
      <x:c r="A10" s="16" t="str">
        <x:v>B2+B4</x:v>
      </x:c>
      <x:c r="B10" s="29" t="str">
        <x:v>2</x:v>
      </x:c>
      <x:c r="C10" s="16" t="str">
        <x:v>B2+B4</x:v>
      </x:c>
      <x:c r="D10" s="16" t="str">
        <x:v>["Patient morphology, template morphology, and P-QRS-T morphology", "Signal-quality context"]</x:v>
      </x:c>
      <x:c r="E10" s="29" t="str">
        <x:v>24</x:v>
      </x:c>
      <x:c r="F10" s="16" t="str">
        <x:v>["cal_varon_lambda1", "cal_varon_lambda2", "cal_varon_lambda3", "cal_varon_lambda4", "cal_varon_lambda5", "template_correlation", "template_normalized_rmse", "template_raw_residual_rms", "template_derivative_dtw_cost", "template_dtw_warp_fraction", "pqrst_qrs_duration_ms", "pqrst_pr_interval_ms", "pqrst_qt_interval_ms", "pqrst_qrs_peak_to_peak_amplitude", "pqrst_qrs_signed_area", "pqrst_landmark_availability_fraction", "quality_finite_fraction", "quality_flat_fraction", "quality_bassqi", "quality_psqi", "quality_bsqi", "quality_qsqi", "quality_rr_support", "quality_template_corr"]</x:v>
      </x:c>
      <x:c r="G10" s="32" t="str">
        <x:v> </x:v>
      </x:c>
    </x:row>
    <x:row r="11" ht="60" hidden="0" customHeight="1">
      <x:c r="A11" s="16" t="str">
        <x:v>B3+B4</x:v>
      </x:c>
      <x:c r="B11" s="29" t="str">
        <x:v>2</x:v>
      </x:c>
      <x:c r="C11" s="16" t="str">
        <x:v>B3+B4</x:v>
      </x:c>
      <x:c r="D11" s="16" t="str">
        <x:v>["Conduction and repolarization information", "Signal-quality context"]</x:v>
      </x:c>
      <x:c r="E11" s="29" t="str">
        <x:v>21</x:v>
      </x:c>
      <x:c r="F11" s="16" t="str">
        <x:v>["conduction_jt_interval_ms", "conduction_t_peak_to_end_ms", "conduction_qtc_bazett_ms", "conduction_qtc_fridericia_ms", "conduction_qtc_framingham_ms", "conduction_delta_pr_ms", "conduction_delta_qt_ms", "conduction_p_to_r_ms", "conduction_t_to_r_ms", "conduction_qt_median5_ms", "conduction_qt_range5_ms", "conduction_qt_slope5_ms_per_beat", "conduction_qtc_fridericia_mean9_ms", "quality_finite_fraction", "quality_flat_fraction", "quality_bassqi", "quality_psqi", "quality_bsqi", "quality_qsqi", "quality_rr_support", "quality_template_corr"]</x:v>
      </x:c>
      <x:c r="G11" s="32" t="str">
        <x:v> </x:v>
      </x:c>
    </x:row>
    <x:row r="12" ht="132" hidden="0" customHeight="1">
      <x:c r="A12" s="16" t="str">
        <x:v>B1+B2+B3</x:v>
      </x:c>
      <x:c r="B12" s="29" t="str">
        <x:v>3</x:v>
      </x:c>
      <x:c r="C12" s="16" t="str">
        <x:v>B1+B2+B3</x:v>
      </x:c>
      <x:c r="D12" s="16" t="str">
        <x:v>["Peak detection, RR, HRV, and PRSA/BPRSA context", "Patient morphology, template morphology, and P-QRS-T morphology", "Conduction and repolarization information"]</x:v>
      </x:c>
      <x:c r="E12" s="29" t="str">
        <x:v>44</x:v>
      </x:c>
      <x:c r="F12" s="16" t="str">
        <x:v>["hrv_rr_ms", "hrv_heart_rate_bpm", "hrv_sd1_raw_ms", "hrv_sd2_raw_ms", "hrv_csi100", "hrv_modcsi100_filtered_ms", "hrv_slope100_bpm_per_s", "hrv_j1_csi_x_slope", "hrv_j2_modcsi_filtered_x_slope", "prsa_mean_rr80_ms", "prsa_sdnn80_ms", "prsa_s_rr_ms_per_sample", "prsa_delta_rr_ms_per_sample", "bprsa_s_r_ms_per_sample", "bprsa_delta_r_ms_per_sample", "cal_varon_lambda1", "cal_varon_lambda2", "cal_varon_lambda3", "cal_varon_lambda4", "cal_varon_lambda5", "template_correlation", "template_normalized_rmse", "template_raw_residual_rms", "template_derivative_dtw_cost", "template_dtw_warp_fraction", "pqrst_qrs_duration_ms", "pqrst_pr_interval_ms", "pqrst_qt_interval_ms", "pqrst_qrs_peak_to_peak_amplitude", "pqrst_qrs_signed_area", "pqrst_landmark_availability_fraction", "conduction_jt_interval_ms", "conduction_t_peak_to_end_ms", "conduction_qtc_bazett_ms", "conduction_qtc_fridericia_ms", "conduction_qtc_framingham_ms", "conduction_delta_pr_ms", "conduction_delta_qt_ms", "conduction_p_to_r_ms", "conduction_t_to_r_ms", "conduction_qt_median5_ms", "conduction_qt_range5_ms", "conduction_qt_slope5_ms_per_beat", "conduction_qtc_fridericia_mean9_ms"]</x:v>
      </x:c>
      <x:c r="G12" s="32" t="str">
        <x:v> </x:v>
      </x:c>
    </x:row>
    <x:row r="13" ht="108" hidden="0" customHeight="1">
      <x:c r="A13" s="16" t="str">
        <x:v>B1+B2+B4</x:v>
      </x:c>
      <x:c r="B13" s="29" t="str">
        <x:v>3</x:v>
      </x:c>
      <x:c r="C13" s="16" t="str">
        <x:v>B1+B2+B4</x:v>
      </x:c>
      <x:c r="D13" s="16" t="str">
        <x:v>["Peak detection, RR, HRV, and PRSA/BPRSA context", "Patient morphology, template morphology, and P-QRS-T morphology", "Signal-quality context"]</x:v>
      </x:c>
      <x:c r="E13" s="29" t="str">
        <x:v>39</x:v>
      </x:c>
      <x:c r="F13" s="16" t="str">
        <x:v>["hrv_rr_ms", "hrv_heart_rate_bpm", "hrv_sd1_raw_ms", "hrv_sd2_raw_ms", "hrv_csi100", "hrv_modcsi100_filtered_ms", "hrv_slope100_bpm_per_s", "hrv_j1_csi_x_slope", "hrv_j2_modcsi_filtered_x_slope", "prsa_mean_rr80_ms", "prsa_sdnn80_ms", "prsa_s_rr_ms_per_sample", "prsa_delta_rr_ms_per_sample", "bprsa_s_r_ms_per_sample", "bprsa_delta_r_ms_per_sample", "cal_varon_lambda1", "cal_varon_lambda2", "cal_varon_lambda3", "cal_varon_lambda4", "cal_varon_lambda5", "template_correlation", "template_normalized_rmse", "template_raw_residual_rms", "template_derivative_dtw_cost", "template_dtw_warp_fraction", "pqrst_qrs_duration_ms", "pqrst_pr_interval_ms", "pqrst_qt_interval_ms", "pqrst_qrs_peak_to_peak_amplitude", "pqrst_qrs_signed_area", "pqrst_landmark_availability_fraction", "quality_finite_fraction", "quality_flat_fraction", "quality_bassqi", "quality_psqi", "quality_bsqi", "quality_qsqi", "quality_rr_support", "quality_template_corr"]</x:v>
      </x:c>
      <x:c r="G13" s="32" t="str">
        <x:v> </x:v>
      </x:c>
    </x:row>
    <x:row r="14" ht="96" hidden="0" customHeight="1">
      <x:c r="A14" s="16" t="str">
        <x:v>B1+B3+B4</x:v>
      </x:c>
      <x:c r="B14" s="29" t="str">
        <x:v>3</x:v>
      </x:c>
      <x:c r="C14" s="16" t="str">
        <x:v>B1+B3+B4</x:v>
      </x:c>
      <x:c r="D14" s="16" t="str">
        <x:v>["Peak detection, RR, HRV, and PRSA/BPRSA context", "Conduction and repolarization information", "Signal-quality context"]</x:v>
      </x:c>
      <x:c r="E14" s="29" t="str">
        <x:v>36</x:v>
      </x:c>
      <x:c r="F14" s="16" t="str">
        <x:v>["hrv_rr_ms", "hrv_heart_rate_bpm", "hrv_sd1_raw_ms", "hrv_sd2_raw_ms", "hrv_csi100", "hrv_modcsi100_filtered_ms", "hrv_slope100_bpm_per_s", "hrv_j1_csi_x_slope", "hrv_j2_modcsi_filtered_x_slope", "prsa_mean_rr80_ms", "prsa_sdnn80_ms", "prsa_s_rr_ms_per_sample", "prsa_delta_rr_ms_per_sample", "bprsa_s_r_ms_per_sample", "bprsa_delta_r_ms_per_sample", "conduction_jt_interval_ms", "conduction_t_peak_to_end_ms", "conduction_qtc_bazett_ms", "conduction_qtc_fridericia_ms", "conduction_qtc_framingham_ms", "conduction_delta_pr_ms", "conduction_delta_qt_ms", "conduction_p_to_r_ms", "conduction_t_to_r_ms", "conduction_qt_median5_ms", "conduction_qt_range5_ms", "conduction_qt_slope5_ms_per_beat", "conduction_qtc_fridericia_mean9_ms", "quality_finite_fraction", "quality_flat_fraction", "quality_bassqi", "quality_psqi", "quality_bsqi", "quality_qsqi", "quality_rr_support", "quality_template_corr"]</x:v>
      </x:c>
      <x:c r="G14" s="32" t="str">
        <x:v> </x:v>
      </x:c>
    </x:row>
    <x:row r="15" ht="108" hidden="0" customHeight="1">
      <x:c r="A15" s="16" t="str">
        <x:v>B2+B3+B4</x:v>
      </x:c>
      <x:c r="B15" s="29" t="str">
        <x:v>3</x:v>
      </x:c>
      <x:c r="C15" s="16" t="str">
        <x:v>B2+B3+B4</x:v>
      </x:c>
      <x:c r="D15" s="16" t="str">
        <x:v>["Patient morphology, template morphology, and P-QRS-T morphology", "Conduction and repolarization information", "Signal-quality context"]</x:v>
      </x:c>
      <x:c r="E15" s="29" t="str">
        <x:v>37</x:v>
      </x:c>
      <x:c r="F15" s="16" t="str">
        <x:v>["cal_varon_lambda1", "cal_varon_lambda2", "cal_varon_lambda3", "cal_varon_lambda4", "cal_varon_lambda5", "template_correlation", "template_normalized_rmse", "template_raw_residual_rms", "template_derivative_dtw_cost", "template_dtw_warp_fraction", "pqrst_qrs_duration_ms", "pqrst_pr_interval_ms", "pqrst_qt_interval_ms", "pqrst_qrs_peak_to_peak_amplitude", "pqrst_qrs_signed_area", "pqrst_landmark_availability_fraction", "conduction_jt_interval_ms", "conduction_t_peak_to_end_ms", "conduction_qtc_bazett_ms", "conduction_qtc_fridericia_ms", "conduction_qtc_framingham_ms", "conduction_delta_pr_ms", "conduction_delta_qt_ms", "conduction_p_to_r_ms", "conduction_t_to_r_ms", "conduction_qt_median5_ms", "conduction_qt_range5_ms", "conduction_qt_slope5_ms_per_beat", "conduction_qtc_fridericia_mean9_ms", "quality_finite_fraction", "quality_flat_fraction", "quality_bassqi", "quality_psqi", "quality_bsqi", "quality_qsqi", "quality_rr_support", "quality_template_corr"]</x:v>
      </x:c>
      <x:c r="G15" s="32" t="str">
        <x:v> </x:v>
      </x:c>
    </x:row>
    <x:row r="16" ht="144" hidden="0" customHeight="1">
      <x:c r="A16" s="16" t="str">
        <x:v>B1+B2+B3+B4</x:v>
      </x:c>
      <x:c r="B16" s="29" t="str">
        <x:v>4</x:v>
      </x:c>
      <x:c r="C16" s="16" t="str">
        <x:v>B1+B2+B3+B4</x:v>
      </x:c>
      <x:c r="D16" s="16" t="str">
        <x:v>["Peak detection, RR, HRV, and PRSA/BPRSA context", "Patient morphology, template morphology, and P-QRS-T morphology", "Conduction and repolarization information", "Signal-quality context"]</x:v>
      </x:c>
      <x:c r="E16" s="29" t="str">
        <x:v>52</x:v>
      </x:c>
      <x:c r="F16" s="16" t="str">
        <x:v>["hrv_rr_ms", "hrv_heart_rate_bpm", "hrv_sd1_raw_ms", "hrv_sd2_raw_ms", "hrv_csi100", "hrv_modcsi100_filtered_ms", "hrv_slope100_bpm_per_s", "hrv_j1_csi_x_slope", "hrv_j2_modcsi_filtered_x_slope", "prsa_mean_rr80_ms", "prsa_sdnn80_ms", "prsa_s_rr_ms_per_sample", "prsa_delta_rr_ms_per_sample", "bprsa_s_r_ms_per_sample", "bprsa_delta_r_ms_per_sample", "cal_varon_lambda1", "cal_varon_lambda2", "cal_varon_lambda3", "cal_varon_lambda4", "cal_varon_lambda5", "template_correlation", "template_normalized_rmse", "template_raw_residual_rms", "template_derivative_dtw_cost", "template_dtw_warp_fraction", "pqrst_qrs_duration_ms", "pqrst_pr_interval_ms", "pqrst_qt_interval_ms", "pqrst_qrs_peak_to_peak_amplitude", "pqrst_qrs_signed_area", "pqrst_landmark_availability_fraction", "conduction_jt_interval_ms", "conduction_t_peak_to_end_ms", "conduction_qtc_bazett_ms", "conduction_qtc_fridericia_ms", "conduction_qtc_framingham_ms", "conduction_delta_pr_ms", "conduction_delta_qt_ms", "conduction_p_to_r_ms", "conduction_t_to_r_ms", "conduction_qt_median5_ms", "conduction_qt_range5_ms", "conduction_qt_slope5_ms_per_beat", "conduction_qtc_fridericia_mean9_ms", "quality_finite_fraction", "quality_flat_fraction", "quality_bassqi", "quality_psqi", "quality_bsqi", "quality_qsqi", "quality_rr_support", "quality_template_corr"]</x:v>
      </x:c>
      <x:c r="G16" s="32" t="str">
        <x:v> </x:v>
      </x:c>
    </x:row>
    <x:row r="17" ht="6" customHeight="1">
      <x:c r="A17" s="32" t="str">
        <x:v> </x:v>
      </x:c>
      <x:c r="B17" s="34" t="str">
        <x:v> </x:v>
      </x:c>
      <x:c r="C17" s="32" t="str">
        <x:v> </x:v>
      </x:c>
      <x:c r="D17" s="32" t="str">
        <x:v> </x:v>
      </x:c>
      <x:c r="E17" s="34" t="str">
        <x:v> </x:v>
      </x:c>
      <x:c r="F17" s="32" t="str">
        <x:v> </x:v>
      </x:c>
      <x:c r="G17" s="32" t="str">
        <x:v> </x:v>
      </x:c>
    </x:row>
    <x:row r="18">
      <x:c r="B18" s="30"/>
      <x:c r="E18" s="30"/>
    </x:row>
    <x:row r="19">
      <x:c r="B19" s="30"/>
      <x:c r="E19" s="30"/>
    </x:row>
    <x:row r="20">
      <x:c r="B20" s="30"/>
      <x:c r="E20" s="30"/>
    </x:row>
  </x:sheetData>
  <x:pageMargins left="0.7" right="0.7" top="0.75" bottom="0.75" header="0.3" footer="0.3"/>
</x:worksheet>
</file>